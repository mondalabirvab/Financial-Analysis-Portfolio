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IRVAB PC\Desktop\Financial Analyst\Projects\"/>
    </mc:Choice>
  </mc:AlternateContent>
  <xr:revisionPtr revIDLastSave="0" documentId="13_ncr:1_{DB1C6496-CA8E-458F-A949-FEBA708A1D0F}" xr6:coauthVersionLast="47" xr6:coauthVersionMax="47" xr10:uidLastSave="{00000000-0000-0000-0000-000000000000}"/>
  <bookViews>
    <workbookView xWindow="-120" yWindow="-120" windowWidth="29040" windowHeight="15840" firstSheet="12" activeTab="19" xr2:uid="{00000000-000D-0000-FFFF-FFFF00000000}"/>
  </bookViews>
  <sheets>
    <sheet name="SBI IS" sheetId="4" r:id="rId1"/>
    <sheet name="SBI BS" sheetId="6" r:id="rId2"/>
    <sheet name="SBI CF" sheetId="3" r:id="rId3"/>
    <sheet name="SBI IS Forecasting" sheetId="9" r:id="rId4"/>
    <sheet name="SBI BS Forecasting" sheetId="10" r:id="rId5"/>
    <sheet name="SBI CF Forecasting" sheetId="11" r:id="rId6"/>
    <sheet name="HDFC IS" sheetId="5" r:id="rId7"/>
    <sheet name="HDFC BS" sheetId="7" r:id="rId8"/>
    <sheet name="HDFC CF" sheetId="1" r:id="rId9"/>
    <sheet name="Ratio Analysis" sheetId="19" r:id="rId10"/>
    <sheet name="HDFC IS Forecasting" sheetId="14" r:id="rId11"/>
    <sheet name="HDFC BS Forecasting" sheetId="12" r:id="rId12"/>
    <sheet name="HDFC CF Forecasting" sheetId="15" r:id="rId13"/>
    <sheet name="Horizontal Analysis" sheetId="8" r:id="rId14"/>
    <sheet name="Vertical Analysis" sheetId="16" r:id="rId15"/>
    <sheet name="SBI DCF" sheetId="17" r:id="rId16"/>
    <sheet name="HDFC DCF" sheetId="18" r:id="rId17"/>
    <sheet name="SBI DDM" sheetId="21" r:id="rId18"/>
    <sheet name="HDFC DDM" sheetId="22" r:id="rId19"/>
    <sheet name="DDM Comparison" sheetId="23" r:id="rId20"/>
  </sheets>
  <externalReferences>
    <externalReference r:id="rId2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9" l="1"/>
  <c r="H16" i="9" s="1"/>
  <c r="C38" i="17"/>
  <c r="D38" i="17"/>
  <c r="E38" i="17"/>
  <c r="C37" i="17"/>
  <c r="D37" i="17"/>
  <c r="E37" i="17"/>
  <c r="C26" i="17"/>
  <c r="D26" i="17"/>
  <c r="E26" i="17"/>
  <c r="C38" i="18"/>
  <c r="D38" i="18"/>
  <c r="E38" i="18"/>
  <c r="C26" i="18"/>
  <c r="C37" i="18" s="1"/>
  <c r="D26" i="18"/>
  <c r="D37" i="18" s="1"/>
  <c r="E26" i="18"/>
  <c r="E37" i="18" s="1"/>
  <c r="E34" i="18"/>
  <c r="D34" i="18"/>
  <c r="C34" i="18"/>
  <c r="E31" i="18"/>
  <c r="D31" i="18"/>
  <c r="C31" i="18"/>
  <c r="E28" i="18"/>
  <c r="D28" i="18"/>
  <c r="C28" i="18"/>
  <c r="E23" i="18"/>
  <c r="D23" i="18"/>
  <c r="C23" i="18"/>
  <c r="E20" i="18"/>
  <c r="D20" i="18"/>
  <c r="C20" i="18"/>
  <c r="E17" i="18"/>
  <c r="D17" i="18"/>
  <c r="C17" i="18"/>
  <c r="D34" i="17"/>
  <c r="E34" i="17"/>
  <c r="E35" i="17" s="1"/>
  <c r="D31" i="17"/>
  <c r="E31" i="17"/>
  <c r="D28" i="17"/>
  <c r="E28" i="17"/>
  <c r="C34" i="17"/>
  <c r="C31" i="17"/>
  <c r="C28" i="17"/>
  <c r="D23" i="17"/>
  <c r="E23" i="17"/>
  <c r="D20" i="17"/>
  <c r="E20" i="17"/>
  <c r="D17" i="17"/>
  <c r="E17" i="17"/>
  <c r="C23" i="17"/>
  <c r="C20" i="17"/>
  <c r="C17" i="17"/>
  <c r="D22" i="23"/>
  <c r="D21" i="23"/>
  <c r="D20" i="23"/>
  <c r="D19" i="23"/>
  <c r="D18" i="23"/>
  <c r="C18" i="23"/>
  <c r="D17" i="23"/>
  <c r="C17" i="23"/>
  <c r="D16" i="23"/>
  <c r="C16" i="23"/>
  <c r="D15" i="23"/>
  <c r="C15" i="23"/>
  <c r="D11" i="23"/>
  <c r="D10" i="23"/>
  <c r="D7" i="23"/>
  <c r="C7" i="23"/>
  <c r="H20" i="21"/>
  <c r="G20" i="21"/>
  <c r="F20" i="21"/>
  <c r="E20" i="21"/>
  <c r="D20" i="21"/>
  <c r="C20" i="21"/>
  <c r="C19" i="21"/>
  <c r="E18" i="21"/>
  <c r="E21" i="21" s="1"/>
  <c r="D18" i="21"/>
  <c r="D21" i="21" s="1"/>
  <c r="C18" i="21"/>
  <c r="C21" i="21" s="1"/>
  <c r="E17" i="21"/>
  <c r="E19" i="21" s="1"/>
  <c r="D17" i="21"/>
  <c r="C17" i="21"/>
  <c r="C12" i="21"/>
  <c r="C11" i="21"/>
  <c r="C8" i="21"/>
  <c r="H21" i="22"/>
  <c r="C27" i="22" s="1"/>
  <c r="C28" i="22" s="1"/>
  <c r="G21" i="22"/>
  <c r="G25" i="22" s="1"/>
  <c r="H20" i="22"/>
  <c r="G20" i="22"/>
  <c r="F20" i="22"/>
  <c r="E20" i="22"/>
  <c r="D20" i="22"/>
  <c r="C20" i="22"/>
  <c r="D19" i="22"/>
  <c r="C19" i="22"/>
  <c r="H18" i="22"/>
  <c r="H19" i="22" s="1"/>
  <c r="G18" i="22"/>
  <c r="G19" i="22" s="1"/>
  <c r="F18" i="22"/>
  <c r="F21" i="22" s="1"/>
  <c r="F25" i="22" s="1"/>
  <c r="E18" i="22"/>
  <c r="E21" i="22" s="1"/>
  <c r="D18" i="22"/>
  <c r="D21" i="22" s="1"/>
  <c r="C18" i="22"/>
  <c r="C21" i="22" s="1"/>
  <c r="H17" i="22"/>
  <c r="G17" i="22"/>
  <c r="F17" i="22"/>
  <c r="F19" i="22" s="1"/>
  <c r="E17" i="22"/>
  <c r="E19" i="22" s="1"/>
  <c r="D17" i="22"/>
  <c r="C17" i="22"/>
  <c r="C12" i="22"/>
  <c r="C11" i="22"/>
  <c r="C8" i="22"/>
  <c r="I84" i="16"/>
  <c r="H84" i="16"/>
  <c r="D84" i="16"/>
  <c r="C84" i="16"/>
  <c r="I83" i="16"/>
  <c r="H83" i="16"/>
  <c r="D83" i="16"/>
  <c r="C83" i="16"/>
  <c r="I81" i="16"/>
  <c r="H81" i="16"/>
  <c r="D81" i="16"/>
  <c r="C81" i="16"/>
  <c r="I80" i="16"/>
  <c r="H80" i="16"/>
  <c r="D80" i="16"/>
  <c r="C80" i="16"/>
  <c r="I78" i="16"/>
  <c r="H78" i="16"/>
  <c r="D78" i="16"/>
  <c r="C78" i="16"/>
  <c r="I77" i="16"/>
  <c r="H77" i="16"/>
  <c r="D77" i="16"/>
  <c r="C77" i="16"/>
  <c r="I76" i="16"/>
  <c r="H76" i="16"/>
  <c r="D76" i="16"/>
  <c r="C76" i="16"/>
  <c r="I75" i="16"/>
  <c r="H75" i="16"/>
  <c r="D75" i="16"/>
  <c r="C75" i="16"/>
  <c r="I73" i="16"/>
  <c r="H73" i="16"/>
  <c r="D73" i="16"/>
  <c r="C73" i="16"/>
  <c r="I72" i="16"/>
  <c r="H72" i="16"/>
  <c r="D72" i="16"/>
  <c r="C72" i="16"/>
  <c r="I71" i="16"/>
  <c r="H71" i="16"/>
  <c r="D71" i="16"/>
  <c r="C71" i="16"/>
  <c r="I70" i="16"/>
  <c r="H70" i="16"/>
  <c r="D70" i="16"/>
  <c r="C70" i="16"/>
  <c r="I66" i="16"/>
  <c r="H66" i="16"/>
  <c r="D66" i="16"/>
  <c r="C66" i="16"/>
  <c r="I64" i="16"/>
  <c r="H64" i="16"/>
  <c r="D64" i="16"/>
  <c r="C64" i="16"/>
  <c r="I63" i="16"/>
  <c r="H63" i="16"/>
  <c r="D63" i="16"/>
  <c r="C63" i="16"/>
  <c r="I62" i="16"/>
  <c r="H62" i="16"/>
  <c r="D62" i="16"/>
  <c r="C62" i="16"/>
  <c r="I61" i="16"/>
  <c r="H61" i="16"/>
  <c r="D61" i="16"/>
  <c r="C61" i="16"/>
  <c r="I60" i="16"/>
  <c r="H60" i="16"/>
  <c r="D60" i="16"/>
  <c r="C60" i="16"/>
  <c r="I49" i="16"/>
  <c r="H49" i="16"/>
  <c r="D49" i="16"/>
  <c r="C49" i="16"/>
  <c r="I48" i="16"/>
  <c r="H48" i="16"/>
  <c r="D48" i="16"/>
  <c r="C48" i="16"/>
  <c r="I47" i="16"/>
  <c r="H47" i="16"/>
  <c r="D47" i="16"/>
  <c r="C47" i="16"/>
  <c r="I46" i="16"/>
  <c r="H46" i="16"/>
  <c r="D46" i="16"/>
  <c r="C46" i="16"/>
  <c r="I45" i="16"/>
  <c r="H45" i="16"/>
  <c r="D45" i="16"/>
  <c r="C45" i="16"/>
  <c r="I44" i="16"/>
  <c r="H44" i="16"/>
  <c r="D44" i="16"/>
  <c r="C44" i="16"/>
  <c r="I43" i="16"/>
  <c r="H43" i="16"/>
  <c r="D43" i="16"/>
  <c r="C43" i="16"/>
  <c r="I40" i="16"/>
  <c r="H40" i="16"/>
  <c r="D40" i="16"/>
  <c r="C40" i="16"/>
  <c r="I39" i="16"/>
  <c r="H39" i="16"/>
  <c r="D39" i="16"/>
  <c r="C39" i="16"/>
  <c r="I38" i="16"/>
  <c r="H38" i="16"/>
  <c r="D38" i="16"/>
  <c r="C38" i="16"/>
  <c r="I37" i="16"/>
  <c r="H37" i="16"/>
  <c r="D37" i="16"/>
  <c r="C37" i="16"/>
  <c r="I35" i="16"/>
  <c r="H35" i="16"/>
  <c r="D35" i="16"/>
  <c r="C35" i="16"/>
  <c r="I34" i="16"/>
  <c r="H34" i="16"/>
  <c r="D34" i="16"/>
  <c r="C34" i="16"/>
  <c r="I33" i="16"/>
  <c r="H33" i="16"/>
  <c r="D33" i="16"/>
  <c r="C33" i="16"/>
  <c r="I22" i="16"/>
  <c r="H22" i="16"/>
  <c r="D22" i="16"/>
  <c r="C22" i="16"/>
  <c r="I21" i="16"/>
  <c r="H21" i="16"/>
  <c r="D21" i="16"/>
  <c r="C21" i="16"/>
  <c r="D20" i="16"/>
  <c r="C20" i="16"/>
  <c r="I19" i="16"/>
  <c r="H19" i="16"/>
  <c r="D19" i="16"/>
  <c r="C19" i="16"/>
  <c r="I18" i="16"/>
  <c r="H18" i="16"/>
  <c r="D18" i="16"/>
  <c r="C18" i="16"/>
  <c r="I17" i="16"/>
  <c r="H17" i="16"/>
  <c r="D17" i="16"/>
  <c r="C17" i="16"/>
  <c r="I16" i="16"/>
  <c r="H16" i="16"/>
  <c r="D16" i="16"/>
  <c r="C16" i="16"/>
  <c r="I14" i="16"/>
  <c r="H14" i="16"/>
  <c r="D14" i="16"/>
  <c r="C14" i="16"/>
  <c r="I13" i="16"/>
  <c r="H13" i="16"/>
  <c r="D13" i="16"/>
  <c r="C13" i="16"/>
  <c r="I11" i="16"/>
  <c r="H11" i="16"/>
  <c r="D11" i="16"/>
  <c r="C11" i="16"/>
  <c r="I10" i="16"/>
  <c r="H10" i="16"/>
  <c r="D10" i="16"/>
  <c r="C10" i="16"/>
  <c r="I9" i="16"/>
  <c r="H9" i="16"/>
  <c r="D9" i="16"/>
  <c r="C9" i="16"/>
  <c r="I8" i="16"/>
  <c r="H8" i="16"/>
  <c r="D8" i="16"/>
  <c r="C8" i="16"/>
  <c r="I7" i="16"/>
  <c r="H7" i="16"/>
  <c r="D7" i="16"/>
  <c r="C7" i="16"/>
  <c r="C54" i="18"/>
  <c r="C53" i="18"/>
  <c r="C51" i="18"/>
  <c r="C46" i="18"/>
  <c r="C43" i="18"/>
  <c r="G17" i="18"/>
  <c r="G18" i="18" s="1"/>
  <c r="H17" i="18"/>
  <c r="H18" i="18" s="1"/>
  <c r="G20" i="18"/>
  <c r="G21" i="18" s="1"/>
  <c r="H20" i="18"/>
  <c r="H21" i="18"/>
  <c r="G23" i="18"/>
  <c r="G24" i="18" s="1"/>
  <c r="H23" i="18"/>
  <c r="H24" i="18" s="1"/>
  <c r="H26" i="18"/>
  <c r="G28" i="18"/>
  <c r="H28" i="18"/>
  <c r="H29" i="18" s="1"/>
  <c r="G29" i="18"/>
  <c r="G34" i="18"/>
  <c r="H34" i="18"/>
  <c r="H35" i="18" s="1"/>
  <c r="G35" i="18"/>
  <c r="F34" i="18"/>
  <c r="F31" i="18"/>
  <c r="F28" i="18"/>
  <c r="F23" i="18"/>
  <c r="F20" i="18"/>
  <c r="F17" i="18"/>
  <c r="C55" i="17"/>
  <c r="C54" i="17"/>
  <c r="C52" i="17"/>
  <c r="C58" i="17" s="1"/>
  <c r="C47" i="17"/>
  <c r="C44" i="17"/>
  <c r="G17" i="17"/>
  <c r="G18" i="17" s="1"/>
  <c r="H17" i="17"/>
  <c r="H18" i="17" s="1"/>
  <c r="G20" i="17"/>
  <c r="H20" i="17"/>
  <c r="G21" i="17"/>
  <c r="H21" i="17"/>
  <c r="G28" i="17"/>
  <c r="G29" i="17" s="1"/>
  <c r="H28" i="17"/>
  <c r="H29" i="17" s="1"/>
  <c r="G34" i="17"/>
  <c r="G35" i="17" s="1"/>
  <c r="H34" i="17"/>
  <c r="H35" i="17" s="1"/>
  <c r="F34" i="17"/>
  <c r="F31" i="17"/>
  <c r="F28" i="17"/>
  <c r="F29" i="17" s="1"/>
  <c r="F20" i="17"/>
  <c r="F17" i="17"/>
  <c r="G31" i="15"/>
  <c r="F31" i="15"/>
  <c r="G24" i="15"/>
  <c r="H24" i="15"/>
  <c r="F24" i="15"/>
  <c r="M36" i="19"/>
  <c r="L36" i="19"/>
  <c r="K36" i="19"/>
  <c r="M35" i="19"/>
  <c r="L35" i="19"/>
  <c r="K35" i="19"/>
  <c r="M34" i="19"/>
  <c r="L34" i="19"/>
  <c r="K34" i="19"/>
  <c r="M32" i="19"/>
  <c r="L32" i="19"/>
  <c r="K32" i="19"/>
  <c r="M25" i="19"/>
  <c r="L25" i="19"/>
  <c r="M24" i="19"/>
  <c r="L24" i="19"/>
  <c r="M23" i="19"/>
  <c r="L23" i="19"/>
  <c r="M22" i="19"/>
  <c r="L22" i="19"/>
  <c r="M21" i="19"/>
  <c r="L21" i="19"/>
  <c r="M20" i="19"/>
  <c r="L20" i="19"/>
  <c r="M19" i="19"/>
  <c r="L19" i="19"/>
  <c r="M18" i="19"/>
  <c r="L18" i="19"/>
  <c r="M17" i="19"/>
  <c r="L17" i="19"/>
  <c r="K17" i="19"/>
  <c r="M16" i="19"/>
  <c r="L16" i="19"/>
  <c r="K16" i="19"/>
  <c r="M15" i="19"/>
  <c r="L15" i="19"/>
  <c r="K15" i="19"/>
  <c r="M14" i="19"/>
  <c r="L14" i="19"/>
  <c r="K14" i="19"/>
  <c r="M13" i="19"/>
  <c r="L13" i="19"/>
  <c r="K13" i="19"/>
  <c r="M12" i="19"/>
  <c r="L12" i="19"/>
  <c r="K12" i="19"/>
  <c r="M11" i="19"/>
  <c r="L11" i="19"/>
  <c r="K11" i="19"/>
  <c r="M10" i="19"/>
  <c r="L10" i="19"/>
  <c r="K10" i="19"/>
  <c r="M9" i="19"/>
  <c r="L9" i="19"/>
  <c r="K9" i="19"/>
  <c r="M8" i="19"/>
  <c r="L8" i="19"/>
  <c r="K8" i="19"/>
  <c r="M7" i="19"/>
  <c r="L7" i="19"/>
  <c r="K7" i="19"/>
  <c r="M6" i="19"/>
  <c r="L6" i="19"/>
  <c r="K6" i="19"/>
  <c r="F36" i="19"/>
  <c r="E36" i="19"/>
  <c r="D36" i="19"/>
  <c r="F35" i="19"/>
  <c r="E35" i="19"/>
  <c r="D35" i="19"/>
  <c r="F34" i="19"/>
  <c r="E34" i="19"/>
  <c r="D34" i="19"/>
  <c r="F25" i="19"/>
  <c r="E25" i="19"/>
  <c r="F24" i="19"/>
  <c r="E24" i="19"/>
  <c r="F23" i="19"/>
  <c r="E23" i="19"/>
  <c r="F22" i="19"/>
  <c r="E22" i="19"/>
  <c r="F21" i="19"/>
  <c r="E21" i="19"/>
  <c r="F20" i="19"/>
  <c r="E20" i="19"/>
  <c r="F19" i="19"/>
  <c r="E19" i="19"/>
  <c r="F18" i="19"/>
  <c r="E18" i="19"/>
  <c r="F17" i="19"/>
  <c r="E17" i="19"/>
  <c r="D17" i="19"/>
  <c r="F16" i="19"/>
  <c r="E16" i="19"/>
  <c r="D16" i="19"/>
  <c r="F15" i="19"/>
  <c r="E15" i="19"/>
  <c r="D15" i="19"/>
  <c r="F14" i="19"/>
  <c r="E14" i="19"/>
  <c r="D14" i="19"/>
  <c r="F13" i="19"/>
  <c r="E13" i="19"/>
  <c r="D13" i="19"/>
  <c r="F12" i="19"/>
  <c r="E12" i="19"/>
  <c r="D12" i="19"/>
  <c r="F11" i="19"/>
  <c r="E11" i="19"/>
  <c r="D11" i="19"/>
  <c r="F10" i="19"/>
  <c r="E10" i="19"/>
  <c r="D10" i="19"/>
  <c r="F9" i="19"/>
  <c r="E9" i="19"/>
  <c r="D9" i="19"/>
  <c r="F8" i="19"/>
  <c r="E8" i="19"/>
  <c r="D8" i="19"/>
  <c r="F7" i="19"/>
  <c r="E7" i="19"/>
  <c r="D7" i="19"/>
  <c r="F6" i="19"/>
  <c r="E6" i="19"/>
  <c r="D6" i="19"/>
  <c r="C59" i="17"/>
  <c r="D32" i="17"/>
  <c r="D24" i="17"/>
  <c r="F21" i="17"/>
  <c r="C58" i="18"/>
  <c r="C57" i="18"/>
  <c r="F35" i="18"/>
  <c r="F32" i="18"/>
  <c r="F24" i="18"/>
  <c r="F21" i="18"/>
  <c r="E21" i="18"/>
  <c r="D24" i="18"/>
  <c r="C21" i="18"/>
  <c r="E18" i="18"/>
  <c r="F18" i="18"/>
  <c r="E35" i="18"/>
  <c r="D18" i="18"/>
  <c r="C29" i="7"/>
  <c r="E29" i="6"/>
  <c r="D29" i="6"/>
  <c r="C29" i="6"/>
  <c r="E29" i="7"/>
  <c r="D29" i="7"/>
  <c r="H61" i="8"/>
  <c r="I61" i="8"/>
  <c r="H62" i="8"/>
  <c r="I62" i="8"/>
  <c r="H63" i="8"/>
  <c r="I63" i="8"/>
  <c r="H64" i="8"/>
  <c r="I64" i="8"/>
  <c r="H66" i="8"/>
  <c r="I66" i="8"/>
  <c r="H70" i="8"/>
  <c r="I70" i="8"/>
  <c r="H71" i="8"/>
  <c r="I71" i="8"/>
  <c r="I72" i="8"/>
  <c r="H73" i="8"/>
  <c r="I73" i="8"/>
  <c r="H76" i="8"/>
  <c r="I76" i="8"/>
  <c r="H77" i="8"/>
  <c r="I77" i="8"/>
  <c r="H78" i="8"/>
  <c r="I78" i="8"/>
  <c r="H80" i="8"/>
  <c r="I80" i="8"/>
  <c r="H81" i="8"/>
  <c r="I81" i="8"/>
  <c r="I60" i="8"/>
  <c r="H60" i="8"/>
  <c r="C61" i="8"/>
  <c r="D61" i="8"/>
  <c r="C62" i="8"/>
  <c r="D62" i="8"/>
  <c r="C63" i="8"/>
  <c r="D63" i="8"/>
  <c r="C64" i="8"/>
  <c r="D64" i="8"/>
  <c r="C66" i="8"/>
  <c r="D66" i="8"/>
  <c r="D70" i="8"/>
  <c r="C71" i="8"/>
  <c r="D71" i="8"/>
  <c r="C72" i="8"/>
  <c r="D72" i="8"/>
  <c r="C73" i="8"/>
  <c r="D73" i="8"/>
  <c r="C76" i="8"/>
  <c r="D76" i="8"/>
  <c r="C77" i="8"/>
  <c r="D77" i="8"/>
  <c r="C78" i="8"/>
  <c r="D78" i="8"/>
  <c r="C80" i="8"/>
  <c r="D80" i="8"/>
  <c r="C81" i="8"/>
  <c r="D81" i="8"/>
  <c r="C83" i="8"/>
  <c r="D83" i="8"/>
  <c r="C84" i="8"/>
  <c r="D84" i="8"/>
  <c r="D60" i="8"/>
  <c r="C60" i="8"/>
  <c r="C34" i="8"/>
  <c r="D34" i="8"/>
  <c r="C35" i="8"/>
  <c r="D35" i="8"/>
  <c r="C37" i="8"/>
  <c r="D37" i="8"/>
  <c r="C38" i="8"/>
  <c r="D38" i="8"/>
  <c r="C39" i="8"/>
  <c r="D39" i="8"/>
  <c r="C40" i="8"/>
  <c r="D40" i="8"/>
  <c r="C43" i="8"/>
  <c r="D43" i="8"/>
  <c r="C44" i="8"/>
  <c r="D44" i="8"/>
  <c r="C45" i="8"/>
  <c r="D45" i="8"/>
  <c r="C46" i="8"/>
  <c r="D46" i="8"/>
  <c r="C47" i="8"/>
  <c r="D47" i="8"/>
  <c r="C48" i="8"/>
  <c r="D48" i="8"/>
  <c r="C49" i="8"/>
  <c r="D49" i="8"/>
  <c r="D33" i="8"/>
  <c r="C33" i="8"/>
  <c r="H40" i="8"/>
  <c r="I40" i="8"/>
  <c r="H43" i="8"/>
  <c r="I43" i="8"/>
  <c r="H44" i="8"/>
  <c r="I44" i="8"/>
  <c r="H45" i="8"/>
  <c r="I45" i="8"/>
  <c r="H46" i="8"/>
  <c r="I46" i="8"/>
  <c r="H47" i="8"/>
  <c r="I47" i="8"/>
  <c r="H48" i="8"/>
  <c r="I48" i="8"/>
  <c r="H49" i="8"/>
  <c r="I49" i="8"/>
  <c r="H37" i="8"/>
  <c r="I37" i="8"/>
  <c r="H38" i="8"/>
  <c r="I38" i="8"/>
  <c r="H39" i="8"/>
  <c r="I39" i="8"/>
  <c r="I33" i="8"/>
  <c r="I34" i="8"/>
  <c r="I35" i="8"/>
  <c r="H34" i="8"/>
  <c r="H35" i="8"/>
  <c r="H33" i="8"/>
  <c r="C7" i="8"/>
  <c r="C8" i="8"/>
  <c r="C9" i="8"/>
  <c r="C10" i="8"/>
  <c r="C11" i="8"/>
  <c r="C13" i="8"/>
  <c r="C14" i="8"/>
  <c r="C16" i="8"/>
  <c r="C17" i="8"/>
  <c r="C18" i="8"/>
  <c r="C19" i="8"/>
  <c r="C20" i="8"/>
  <c r="C21" i="8"/>
  <c r="C22" i="8"/>
  <c r="C39" i="10"/>
  <c r="C39" i="12"/>
  <c r="C35" i="14"/>
  <c r="F16" i="14" s="1"/>
  <c r="C44" i="15"/>
  <c r="C42" i="15"/>
  <c r="C40" i="15"/>
  <c r="G12" i="15" s="1"/>
  <c r="C38" i="15"/>
  <c r="G18" i="15"/>
  <c r="H18" i="15"/>
  <c r="F19" i="15"/>
  <c r="F22" i="12" s="1"/>
  <c r="G10" i="15"/>
  <c r="H10" i="15"/>
  <c r="F10" i="15"/>
  <c r="H12" i="15"/>
  <c r="G23" i="12"/>
  <c r="H23" i="12" s="1"/>
  <c r="F23" i="12"/>
  <c r="G21" i="12"/>
  <c r="H21" i="12" s="1"/>
  <c r="F21" i="12"/>
  <c r="F20" i="12"/>
  <c r="G20" i="12" s="1"/>
  <c r="H20" i="12" s="1"/>
  <c r="G19" i="12"/>
  <c r="H19" i="12" s="1"/>
  <c r="F19" i="12"/>
  <c r="G13" i="12"/>
  <c r="H13" i="12" s="1"/>
  <c r="F13" i="12"/>
  <c r="F12" i="12"/>
  <c r="G12" i="12" s="1"/>
  <c r="H12" i="12" s="1"/>
  <c r="G10" i="12"/>
  <c r="H10" i="12" s="1"/>
  <c r="F10" i="12"/>
  <c r="G8" i="12"/>
  <c r="F8" i="12"/>
  <c r="C41" i="15"/>
  <c r="H28" i="15"/>
  <c r="G28" i="15"/>
  <c r="F28" i="15"/>
  <c r="F25" i="15"/>
  <c r="G25" i="15" s="1"/>
  <c r="H25" i="15" s="1"/>
  <c r="H20" i="15"/>
  <c r="G20" i="15"/>
  <c r="F20" i="15"/>
  <c r="F18" i="15"/>
  <c r="G11" i="15"/>
  <c r="H11" i="15" s="1"/>
  <c r="F11" i="15"/>
  <c r="G9" i="15"/>
  <c r="H9" i="15" s="1"/>
  <c r="F9" i="15"/>
  <c r="C46" i="15"/>
  <c r="C45" i="15"/>
  <c r="C43" i="15"/>
  <c r="C39" i="15"/>
  <c r="C37" i="15"/>
  <c r="E31" i="15"/>
  <c r="D31" i="15"/>
  <c r="E26" i="15"/>
  <c r="D26" i="15"/>
  <c r="C26" i="15"/>
  <c r="E21" i="15"/>
  <c r="D21" i="15"/>
  <c r="C21" i="15"/>
  <c r="E14" i="15"/>
  <c r="E29" i="15" s="1"/>
  <c r="D14" i="15"/>
  <c r="D29" i="15" s="1"/>
  <c r="E8" i="15"/>
  <c r="D8" i="15"/>
  <c r="C8" i="15"/>
  <c r="C14" i="15" s="1"/>
  <c r="C38" i="12"/>
  <c r="C37" i="12"/>
  <c r="C36" i="12"/>
  <c r="C35" i="12"/>
  <c r="C34" i="12"/>
  <c r="C33" i="12"/>
  <c r="C32" i="12"/>
  <c r="C31" i="12"/>
  <c r="E26" i="12"/>
  <c r="D26" i="12"/>
  <c r="C26" i="12"/>
  <c r="E24" i="12"/>
  <c r="D24" i="12"/>
  <c r="C24" i="12"/>
  <c r="E15" i="12"/>
  <c r="D15" i="12"/>
  <c r="C15" i="12"/>
  <c r="F20" i="14"/>
  <c r="C37" i="14"/>
  <c r="C34" i="14"/>
  <c r="C33" i="14"/>
  <c r="F10" i="14" s="1"/>
  <c r="G10" i="14" s="1"/>
  <c r="H10" i="14" s="1"/>
  <c r="C32" i="14"/>
  <c r="C31" i="14"/>
  <c r="F13" i="14"/>
  <c r="G13" i="14" s="1"/>
  <c r="H13" i="14" s="1"/>
  <c r="E11" i="14"/>
  <c r="E14" i="14" s="1"/>
  <c r="E17" i="14" s="1"/>
  <c r="E19" i="14" s="1"/>
  <c r="E21" i="14" s="1"/>
  <c r="F9" i="14"/>
  <c r="E9" i="14"/>
  <c r="D9" i="14"/>
  <c r="D11" i="14" s="1"/>
  <c r="D14" i="14" s="1"/>
  <c r="D17" i="14" s="1"/>
  <c r="D19" i="14" s="1"/>
  <c r="D21" i="14" s="1"/>
  <c r="C9" i="14"/>
  <c r="C11" i="14" s="1"/>
  <c r="C14" i="14" s="1"/>
  <c r="C17" i="14" s="1"/>
  <c r="H8" i="14"/>
  <c r="G8" i="14"/>
  <c r="F8" i="14"/>
  <c r="G7" i="14"/>
  <c r="G9" i="14" s="1"/>
  <c r="G11" i="14" s="1"/>
  <c r="G14" i="14" s="1"/>
  <c r="F7" i="14"/>
  <c r="C45" i="11"/>
  <c r="F25" i="11" s="1"/>
  <c r="G25" i="11" s="1"/>
  <c r="H25" i="11" s="1"/>
  <c r="C44" i="11"/>
  <c r="C42" i="11"/>
  <c r="C41" i="11"/>
  <c r="F17" i="11" s="1"/>
  <c r="G17" i="11" s="1"/>
  <c r="C40" i="11"/>
  <c r="G12" i="11" s="1"/>
  <c r="C38" i="11"/>
  <c r="G10" i="11" s="1"/>
  <c r="F31" i="11"/>
  <c r="G11" i="11"/>
  <c r="H11" i="11" s="1"/>
  <c r="F12" i="11"/>
  <c r="C46" i="11"/>
  <c r="C43" i="11"/>
  <c r="C39" i="11"/>
  <c r="C37" i="11"/>
  <c r="E31" i="11"/>
  <c r="D31" i="11"/>
  <c r="H28" i="11"/>
  <c r="G28" i="11"/>
  <c r="F28" i="11"/>
  <c r="E26" i="11"/>
  <c r="D26" i="11"/>
  <c r="C26" i="11"/>
  <c r="E21" i="11"/>
  <c r="D21" i="11"/>
  <c r="C21" i="11"/>
  <c r="H20" i="11"/>
  <c r="G20" i="11"/>
  <c r="F20" i="11"/>
  <c r="F18" i="11"/>
  <c r="G18" i="11" s="1"/>
  <c r="H18" i="11" s="1"/>
  <c r="F11" i="11"/>
  <c r="F9" i="11"/>
  <c r="G9" i="11" s="1"/>
  <c r="H9" i="11" s="1"/>
  <c r="E8" i="11"/>
  <c r="E14" i="11" s="1"/>
  <c r="E29" i="11" s="1"/>
  <c r="D8" i="11"/>
  <c r="D14" i="11" s="1"/>
  <c r="D29" i="11" s="1"/>
  <c r="D32" i="11" s="1"/>
  <c r="C8" i="11"/>
  <c r="C14" i="11" s="1"/>
  <c r="C29" i="11" s="1"/>
  <c r="C32" i="11" s="1"/>
  <c r="C38" i="10"/>
  <c r="F23" i="10" s="1"/>
  <c r="G23" i="10" s="1"/>
  <c r="H23" i="10" s="1"/>
  <c r="C37" i="10"/>
  <c r="C36" i="10"/>
  <c r="C35" i="10"/>
  <c r="F19" i="10" s="1"/>
  <c r="C34" i="10"/>
  <c r="C33" i="10"/>
  <c r="F12" i="10" s="1"/>
  <c r="G12" i="10" s="1"/>
  <c r="H12" i="10" s="1"/>
  <c r="C32" i="10"/>
  <c r="C31" i="10"/>
  <c r="E26" i="10"/>
  <c r="C26" i="10"/>
  <c r="E24" i="10"/>
  <c r="D24" i="10"/>
  <c r="D26" i="10" s="1"/>
  <c r="C24" i="10"/>
  <c r="F22" i="10"/>
  <c r="G22" i="10" s="1"/>
  <c r="H22" i="10" s="1"/>
  <c r="G21" i="10"/>
  <c r="H21" i="10" s="1"/>
  <c r="F21" i="10"/>
  <c r="F20" i="10"/>
  <c r="G20" i="10" s="1"/>
  <c r="H20" i="10" s="1"/>
  <c r="E15" i="10"/>
  <c r="D15" i="10"/>
  <c r="C15" i="10"/>
  <c r="G13" i="10"/>
  <c r="H13" i="10" s="1"/>
  <c r="F13" i="10"/>
  <c r="F10" i="10"/>
  <c r="G10" i="10" s="1"/>
  <c r="H10" i="10" s="1"/>
  <c r="F8" i="10"/>
  <c r="C39" i="9"/>
  <c r="C38" i="9"/>
  <c r="C37" i="9"/>
  <c r="C34" i="9"/>
  <c r="C33" i="9"/>
  <c r="F10" i="9" s="1"/>
  <c r="G10" i="9" s="1"/>
  <c r="H10" i="9" s="1"/>
  <c r="C32" i="9"/>
  <c r="C31" i="9"/>
  <c r="F27" i="9"/>
  <c r="G25" i="9"/>
  <c r="G27" i="9" s="1"/>
  <c r="F25" i="9"/>
  <c r="F21" i="9"/>
  <c r="G21" i="9" s="1"/>
  <c r="H21" i="9" s="1"/>
  <c r="F20" i="9"/>
  <c r="G20" i="9" s="1"/>
  <c r="H20" i="9" s="1"/>
  <c r="F13" i="9"/>
  <c r="G13" i="9" s="1"/>
  <c r="H13" i="9" s="1"/>
  <c r="D11" i="9"/>
  <c r="D14" i="9" s="1"/>
  <c r="D17" i="9" s="1"/>
  <c r="D19" i="9" s="1"/>
  <c r="D22" i="9" s="1"/>
  <c r="E9" i="9"/>
  <c r="E11" i="9" s="1"/>
  <c r="E14" i="9" s="1"/>
  <c r="E17" i="9" s="1"/>
  <c r="E19" i="9" s="1"/>
  <c r="E22" i="9" s="1"/>
  <c r="D9" i="9"/>
  <c r="C9" i="9"/>
  <c r="C11" i="9" s="1"/>
  <c r="C14" i="9" s="1"/>
  <c r="C17" i="9" s="1"/>
  <c r="F8" i="9"/>
  <c r="G8" i="9" s="1"/>
  <c r="H8" i="9" s="1"/>
  <c r="F7" i="9"/>
  <c r="F9" i="9" s="1"/>
  <c r="F11" i="9" s="1"/>
  <c r="F14" i="9" s="1"/>
  <c r="E24" i="17" l="1"/>
  <c r="C24" i="17"/>
  <c r="C24" i="18"/>
  <c r="D21" i="17"/>
  <c r="D29" i="17"/>
  <c r="C32" i="18"/>
  <c r="E21" i="17"/>
  <c r="E29" i="17"/>
  <c r="C32" i="17"/>
  <c r="D18" i="17"/>
  <c r="E32" i="17"/>
  <c r="E24" i="18"/>
  <c r="C35" i="18"/>
  <c r="C35" i="17"/>
  <c r="D21" i="18"/>
  <c r="C29" i="18"/>
  <c r="D35" i="18"/>
  <c r="E18" i="17"/>
  <c r="D35" i="17"/>
  <c r="D29" i="18"/>
  <c r="C21" i="17"/>
  <c r="C29" i="17"/>
  <c r="D19" i="21"/>
  <c r="H25" i="22"/>
  <c r="C29" i="22" s="1"/>
  <c r="C7" i="22" s="1"/>
  <c r="C9" i="22" s="1"/>
  <c r="G26" i="18"/>
  <c r="F29" i="18"/>
  <c r="C45" i="17"/>
  <c r="F35" i="17"/>
  <c r="F32" i="17"/>
  <c r="F18" i="17"/>
  <c r="C53" i="17"/>
  <c r="C50" i="17" s="1"/>
  <c r="C11" i="17" s="1"/>
  <c r="D32" i="18"/>
  <c r="E32" i="18"/>
  <c r="C52" i="18"/>
  <c r="C49" i="18" s="1"/>
  <c r="C11" i="18" s="1"/>
  <c r="F26" i="18"/>
  <c r="F37" i="18" s="1"/>
  <c r="F38" i="18" s="1"/>
  <c r="C44" i="18"/>
  <c r="E29" i="18"/>
  <c r="C29" i="15"/>
  <c r="C32" i="15" s="1"/>
  <c r="H19" i="15"/>
  <c r="G16" i="9"/>
  <c r="G19" i="11"/>
  <c r="F16" i="9"/>
  <c r="F17" i="9" s="1"/>
  <c r="F8" i="11" s="1"/>
  <c r="F14" i="11" s="1"/>
  <c r="H16" i="14"/>
  <c r="G16" i="14"/>
  <c r="G19" i="15"/>
  <c r="F12" i="15"/>
  <c r="G17" i="14"/>
  <c r="H8" i="12"/>
  <c r="F21" i="15"/>
  <c r="H14" i="15"/>
  <c r="D32" i="15"/>
  <c r="E32" i="15"/>
  <c r="D25" i="14"/>
  <c r="D23" i="14"/>
  <c r="C19" i="14"/>
  <c r="C21" i="14" s="1"/>
  <c r="C36" i="14"/>
  <c r="F11" i="14"/>
  <c r="F14" i="14" s="1"/>
  <c r="F17" i="14" s="1"/>
  <c r="F8" i="15" s="1"/>
  <c r="F14" i="15" s="1"/>
  <c r="G18" i="14"/>
  <c r="E23" i="14"/>
  <c r="E25" i="14"/>
  <c r="H7" i="14"/>
  <c r="H9" i="14" s="1"/>
  <c r="H11" i="14" s="1"/>
  <c r="H14" i="14" s="1"/>
  <c r="H17" i="14" s="1"/>
  <c r="H8" i="15" s="1"/>
  <c r="F19" i="11"/>
  <c r="H19" i="11"/>
  <c r="H31" i="17" s="1"/>
  <c r="H32" i="17" s="1"/>
  <c r="H12" i="11"/>
  <c r="F10" i="11"/>
  <c r="H10" i="11"/>
  <c r="E32" i="11"/>
  <c r="H17" i="11"/>
  <c r="H21" i="11" s="1"/>
  <c r="F21" i="11"/>
  <c r="F18" i="10"/>
  <c r="G19" i="10"/>
  <c r="G8" i="10"/>
  <c r="C36" i="9"/>
  <c r="C19" i="9"/>
  <c r="C22" i="9" s="1"/>
  <c r="E24" i="9"/>
  <c r="E26" i="9"/>
  <c r="D26" i="9"/>
  <c r="D24" i="9"/>
  <c r="G7" i="9"/>
  <c r="H25" i="9"/>
  <c r="H27" i="9" s="1"/>
  <c r="H21" i="15" l="1"/>
  <c r="H31" i="18"/>
  <c r="G22" i="12"/>
  <c r="G31" i="18"/>
  <c r="G32" i="18" s="1"/>
  <c r="G21" i="11"/>
  <c r="G31" i="17"/>
  <c r="G32" i="17" s="1"/>
  <c r="G21" i="15"/>
  <c r="F24" i="10"/>
  <c r="G31" i="11"/>
  <c r="F18" i="9"/>
  <c r="H22" i="12"/>
  <c r="G19" i="14"/>
  <c r="G8" i="15"/>
  <c r="G14" i="15" s="1"/>
  <c r="F18" i="14"/>
  <c r="F19" i="14" s="1"/>
  <c r="F21" i="14" s="1"/>
  <c r="C25" i="14"/>
  <c r="C39" i="14" s="1"/>
  <c r="F24" i="14" s="1"/>
  <c r="C23" i="14"/>
  <c r="H18" i="14"/>
  <c r="H19" i="14" s="1"/>
  <c r="C38" i="14"/>
  <c r="G20" i="14" s="1"/>
  <c r="H20" i="14" s="1"/>
  <c r="H19" i="10"/>
  <c r="H18" i="10" s="1"/>
  <c r="H24" i="10" s="1"/>
  <c r="G18" i="10"/>
  <c r="H8" i="10"/>
  <c r="G9" i="9"/>
  <c r="G11" i="9" s="1"/>
  <c r="G14" i="9" s="1"/>
  <c r="G17" i="9" s="1"/>
  <c r="G8" i="11" s="1"/>
  <c r="G14" i="11" s="1"/>
  <c r="H7" i="9"/>
  <c r="H9" i="9" s="1"/>
  <c r="H11" i="9" s="1"/>
  <c r="H14" i="9" s="1"/>
  <c r="H17" i="9" s="1"/>
  <c r="H8" i="11" s="1"/>
  <c r="H14" i="11" s="1"/>
  <c r="C26" i="9"/>
  <c r="C24" i="9"/>
  <c r="F19" i="9" l="1"/>
  <c r="F22" i="9" s="1"/>
  <c r="F23" i="17"/>
  <c r="G37" i="18"/>
  <c r="G38" i="18" s="1"/>
  <c r="H32" i="18"/>
  <c r="H37" i="18"/>
  <c r="G24" i="10"/>
  <c r="H31" i="11"/>
  <c r="F9" i="10"/>
  <c r="F24" i="11"/>
  <c r="F26" i="14"/>
  <c r="F25" i="14" s="1"/>
  <c r="G24" i="14"/>
  <c r="F23" i="14"/>
  <c r="G21" i="14"/>
  <c r="H21" i="14"/>
  <c r="G18" i="9"/>
  <c r="H18" i="9"/>
  <c r="C40" i="18" l="1"/>
  <c r="C41" i="18" s="1"/>
  <c r="C42" i="18" s="1"/>
  <c r="C45" i="18" s="1"/>
  <c r="C47" i="18" s="1"/>
  <c r="C7" i="18" s="1"/>
  <c r="D8" i="23" s="1"/>
  <c r="H38" i="18"/>
  <c r="H19" i="9"/>
  <c r="H22" i="9" s="1"/>
  <c r="H17" i="21" s="1"/>
  <c r="H23" i="17"/>
  <c r="G19" i="9"/>
  <c r="G22" i="9" s="1"/>
  <c r="G17" i="21" s="1"/>
  <c r="G23" i="17"/>
  <c r="F24" i="17"/>
  <c r="F26" i="17"/>
  <c r="F37" i="17" s="1"/>
  <c r="F38" i="17" s="1"/>
  <c r="F26" i="11"/>
  <c r="F29" i="11" s="1"/>
  <c r="F32" i="11" s="1"/>
  <c r="F18" i="21"/>
  <c r="F21" i="21" s="1"/>
  <c r="F25" i="21" s="1"/>
  <c r="F17" i="21"/>
  <c r="F24" i="9"/>
  <c r="F26" i="9"/>
  <c r="H24" i="11"/>
  <c r="H26" i="15"/>
  <c r="H29" i="15" s="1"/>
  <c r="G9" i="10"/>
  <c r="F14" i="10"/>
  <c r="F15" i="10" s="1"/>
  <c r="F26" i="10" s="1"/>
  <c r="G24" i="11"/>
  <c r="G26" i="15"/>
  <c r="G29" i="15" s="1"/>
  <c r="G32" i="15" s="1"/>
  <c r="G18" i="12" s="1"/>
  <c r="F9" i="12"/>
  <c r="G9" i="12" s="1"/>
  <c r="H9" i="12" s="1"/>
  <c r="F26" i="15"/>
  <c r="F29" i="15" s="1"/>
  <c r="F32" i="15" s="1"/>
  <c r="F18" i="12" s="1"/>
  <c r="F24" i="12" s="1"/>
  <c r="G23" i="14"/>
  <c r="G25" i="14"/>
  <c r="G26" i="14"/>
  <c r="H24" i="14"/>
  <c r="H26" i="14" s="1"/>
  <c r="H25" i="14" s="1"/>
  <c r="G24" i="9"/>
  <c r="H26" i="9"/>
  <c r="H24" i="9"/>
  <c r="G26" i="9" l="1"/>
  <c r="D12" i="23"/>
  <c r="D9" i="23"/>
  <c r="H26" i="11"/>
  <c r="H29" i="11" s="1"/>
  <c r="H32" i="11" s="1"/>
  <c r="H18" i="21"/>
  <c r="G24" i="17"/>
  <c r="G26" i="17"/>
  <c r="G37" i="17" s="1"/>
  <c r="G38" i="17" s="1"/>
  <c r="G26" i="11"/>
  <c r="G29" i="11" s="1"/>
  <c r="G32" i="11" s="1"/>
  <c r="G18" i="21"/>
  <c r="F19" i="21"/>
  <c r="H24" i="17"/>
  <c r="H26" i="17"/>
  <c r="H37" i="17" s="1"/>
  <c r="G24" i="12"/>
  <c r="G14" i="12" s="1"/>
  <c r="G15" i="12" s="1"/>
  <c r="G26" i="12" s="1"/>
  <c r="H31" i="15"/>
  <c r="H32" i="15" s="1"/>
  <c r="H18" i="12" s="1"/>
  <c r="H24" i="12" s="1"/>
  <c r="H14" i="12" s="1"/>
  <c r="H15" i="12" s="1"/>
  <c r="H26" i="12" s="1"/>
  <c r="F14" i="12"/>
  <c r="F15" i="12" s="1"/>
  <c r="F26" i="12" s="1"/>
  <c r="H9" i="10"/>
  <c r="H14" i="10" s="1"/>
  <c r="H15" i="10" s="1"/>
  <c r="H26" i="10" s="1"/>
  <c r="G14" i="10"/>
  <c r="G15" i="10" s="1"/>
  <c r="G26" i="10" s="1"/>
  <c r="H23" i="14"/>
  <c r="G19" i="21" l="1"/>
  <c r="G21" i="21"/>
  <c r="G25" i="21" s="1"/>
  <c r="H19" i="21"/>
  <c r="H21" i="21"/>
  <c r="H38" i="17"/>
  <c r="C41" i="17"/>
  <c r="C42" i="17" s="1"/>
  <c r="C43" i="17" s="1"/>
  <c r="C46" i="17" s="1"/>
  <c r="C48" i="17" s="1"/>
  <c r="C7" i="17" s="1"/>
  <c r="C8" i="23" s="1"/>
  <c r="H22" i="8"/>
  <c r="I22" i="8"/>
  <c r="I7" i="8"/>
  <c r="I8" i="8"/>
  <c r="I9" i="8"/>
  <c r="I10" i="8"/>
  <c r="I11" i="8"/>
  <c r="I13" i="8"/>
  <c r="I14" i="8"/>
  <c r="I16" i="8"/>
  <c r="I17" i="8"/>
  <c r="I18" i="8"/>
  <c r="I19" i="8"/>
  <c r="I20" i="8"/>
  <c r="I21" i="8"/>
  <c r="H13" i="8"/>
  <c r="H14" i="8"/>
  <c r="H16" i="8"/>
  <c r="H17" i="8"/>
  <c r="H18" i="8"/>
  <c r="H19" i="8"/>
  <c r="H20" i="8"/>
  <c r="H21" i="8"/>
  <c r="H8" i="8"/>
  <c r="H9" i="8"/>
  <c r="H10" i="8"/>
  <c r="H11" i="8"/>
  <c r="H7" i="8"/>
  <c r="D16" i="8"/>
  <c r="D18" i="8"/>
  <c r="D20" i="8"/>
  <c r="D21" i="8"/>
  <c r="D13" i="8"/>
  <c r="D7" i="8"/>
  <c r="D8" i="8"/>
  <c r="D10" i="8"/>
  <c r="C19" i="23" l="1"/>
  <c r="H25" i="21"/>
  <c r="C27" i="21"/>
  <c r="C22" i="23"/>
  <c r="C9" i="23"/>
  <c r="D31" i="1"/>
  <c r="E31" i="1"/>
  <c r="C8" i="1"/>
  <c r="C14" i="1" s="1"/>
  <c r="D8" i="1"/>
  <c r="D14" i="1" s="1"/>
  <c r="E8" i="1"/>
  <c r="E14" i="1" s="1"/>
  <c r="E26" i="1"/>
  <c r="D26" i="1"/>
  <c r="C26" i="1"/>
  <c r="E21" i="1"/>
  <c r="D21" i="1"/>
  <c r="C21" i="1"/>
  <c r="D31" i="3"/>
  <c r="E31" i="3"/>
  <c r="C26" i="3"/>
  <c r="D26" i="3"/>
  <c r="E26" i="3"/>
  <c r="D21" i="3"/>
  <c r="E21" i="3"/>
  <c r="C21" i="3"/>
  <c r="C28" i="21" l="1"/>
  <c r="C20" i="23"/>
  <c r="I83" i="8"/>
  <c r="H83" i="8"/>
  <c r="D29" i="1"/>
  <c r="D32" i="1" s="1"/>
  <c r="E29" i="1"/>
  <c r="E32" i="1" s="1"/>
  <c r="C29" i="1"/>
  <c r="C32" i="1" s="1"/>
  <c r="E24" i="7"/>
  <c r="D24" i="7"/>
  <c r="C24" i="7"/>
  <c r="E15" i="7"/>
  <c r="D15" i="7"/>
  <c r="C15" i="7"/>
  <c r="E24" i="6"/>
  <c r="D24" i="6"/>
  <c r="C24" i="6"/>
  <c r="E15" i="6"/>
  <c r="D15" i="6"/>
  <c r="C15" i="6"/>
  <c r="E9" i="5"/>
  <c r="E11" i="5" s="1"/>
  <c r="E14" i="5" s="1"/>
  <c r="E17" i="5" s="1"/>
  <c r="E19" i="5" s="1"/>
  <c r="E21" i="5" s="1"/>
  <c r="D9" i="5"/>
  <c r="D11" i="5" s="1"/>
  <c r="D14" i="5" s="1"/>
  <c r="D17" i="5" s="1"/>
  <c r="D19" i="5" s="1"/>
  <c r="D21" i="5" s="1"/>
  <c r="C9" i="5"/>
  <c r="C11" i="5" s="1"/>
  <c r="C14" i="5" s="1"/>
  <c r="C17" i="5" s="1"/>
  <c r="C19" i="5" s="1"/>
  <c r="C21" i="5" s="1"/>
  <c r="E9" i="4"/>
  <c r="D9" i="4"/>
  <c r="C9" i="4"/>
  <c r="C11" i="4" s="1"/>
  <c r="C14" i="4" s="1"/>
  <c r="C17" i="4" s="1"/>
  <c r="C29" i="21" l="1"/>
  <c r="C7" i="21" s="1"/>
  <c r="C21" i="23"/>
  <c r="I84" i="8"/>
  <c r="H84" i="8"/>
  <c r="C19" i="4"/>
  <c r="C22" i="4" s="1"/>
  <c r="C8" i="3"/>
  <c r="C14" i="3" s="1"/>
  <c r="C29" i="3" s="1"/>
  <c r="C32" i="3" s="1"/>
  <c r="D11" i="4"/>
  <c r="E11" i="4"/>
  <c r="D9" i="8"/>
  <c r="C25" i="5"/>
  <c r="C23" i="5"/>
  <c r="D25" i="5"/>
  <c r="D23" i="5"/>
  <c r="E25" i="5"/>
  <c r="E23" i="5"/>
  <c r="C26" i="4"/>
  <c r="C24" i="4"/>
  <c r="C9" i="21" l="1"/>
  <c r="C11" i="23" s="1"/>
  <c r="C10" i="23"/>
  <c r="C12" i="23" s="1"/>
  <c r="E14" i="4"/>
  <c r="D11" i="8"/>
  <c r="D14" i="4"/>
  <c r="D17" i="4" l="1"/>
  <c r="E17" i="4"/>
  <c r="D14" i="8"/>
  <c r="E19" i="4" l="1"/>
  <c r="D17" i="8"/>
  <c r="E8" i="3"/>
  <c r="E14" i="3" s="1"/>
  <c r="E29" i="3" s="1"/>
  <c r="E32" i="3" s="1"/>
  <c r="D19" i="4"/>
  <c r="D8" i="3"/>
  <c r="D14" i="3" s="1"/>
  <c r="D29" i="3" s="1"/>
  <c r="D32" i="3" s="1"/>
  <c r="D22" i="4" l="1"/>
  <c r="E22" i="4"/>
  <c r="D19" i="8"/>
  <c r="D22" i="8" l="1"/>
  <c r="E26" i="4"/>
  <c r="E24" i="4"/>
  <c r="D26" i="4"/>
  <c r="D24" i="4"/>
</calcChain>
</file>

<file path=xl/sharedStrings.xml><?xml version="1.0" encoding="utf-8"?>
<sst xmlns="http://schemas.openxmlformats.org/spreadsheetml/2006/main" count="1191" uniqueCount="417">
  <si>
    <t>Line Items</t>
  </si>
  <si>
    <t>Interest Earned</t>
  </si>
  <si>
    <t>Other Income</t>
  </si>
  <si>
    <t>Interest Expense</t>
  </si>
  <si>
    <t>Operating expenses</t>
  </si>
  <si>
    <t>Net Profit Before Taxation</t>
  </si>
  <si>
    <t>Taxation</t>
  </si>
  <si>
    <t>Net Profit After taxation</t>
  </si>
  <si>
    <t>Net Revenue</t>
  </si>
  <si>
    <t>Net Interest Income</t>
  </si>
  <si>
    <t>Operating Income</t>
  </si>
  <si>
    <t>Provisions and contingencies (ex-tax)</t>
  </si>
  <si>
    <t>Share in Profit of Associates</t>
  </si>
  <si>
    <t>Less: Minority Interest</t>
  </si>
  <si>
    <t>Net Profit</t>
  </si>
  <si>
    <t>Basic EPS</t>
  </si>
  <si>
    <t>Basic Shares</t>
  </si>
  <si>
    <t xml:space="preserve">Diluted EPS </t>
  </si>
  <si>
    <t>Diluted Shares</t>
  </si>
  <si>
    <t>INR ( Rupees in Crores)</t>
  </si>
  <si>
    <t>State Bank Of India</t>
  </si>
  <si>
    <t>HDFC Bank Limited</t>
  </si>
  <si>
    <t>Capital and Liabilities</t>
  </si>
  <si>
    <t>Capital</t>
  </si>
  <si>
    <t>Reserves &amp; Surplus</t>
  </si>
  <si>
    <t>Deposits</t>
  </si>
  <si>
    <t>Borrowings</t>
  </si>
  <si>
    <t>Other Liabilities and Provisions</t>
  </si>
  <si>
    <t>Total Capital and Liabilities</t>
  </si>
  <si>
    <t>Assets</t>
  </si>
  <si>
    <t>Cash and Balances with Reserve Bank of India</t>
  </si>
  <si>
    <t>Balances with Banks and Money at Call &amp; Short Notice</t>
  </si>
  <si>
    <t>Investments</t>
  </si>
  <si>
    <t>Advances</t>
  </si>
  <si>
    <t>Fixed Assets</t>
  </si>
  <si>
    <t>Other Assets</t>
  </si>
  <si>
    <t>Total Assets</t>
  </si>
  <si>
    <t>Minority Interest &amp; Other Equity</t>
  </si>
  <si>
    <t>Balance Sheet  (2024-2026)</t>
  </si>
  <si>
    <t>Income Statement  (2024-2026)</t>
  </si>
  <si>
    <t>Cash Flow (2024-2026)</t>
  </si>
  <si>
    <t>Cash Flow From Operating Activites</t>
  </si>
  <si>
    <t>Depreciation on Fixed Assets</t>
  </si>
  <si>
    <t>Tax refund / (Taxes paid)</t>
  </si>
  <si>
    <t>Other Operating Activities</t>
  </si>
  <si>
    <t>Change in Net Working Capital</t>
  </si>
  <si>
    <t>Total Cash Flow From Operating Activites</t>
  </si>
  <si>
    <t>Cash Flow From Investing Activites</t>
  </si>
  <si>
    <t>Sale Of Investments</t>
  </si>
  <si>
    <t>Purchase of Investments</t>
  </si>
  <si>
    <t>Purchase of Fixed Assets</t>
  </si>
  <si>
    <t>Income from Investments in Associates</t>
  </si>
  <si>
    <t>Total Cash Flow From Investing Activites</t>
  </si>
  <si>
    <t>Cash Flow From Financing Activites</t>
  </si>
  <si>
    <t>Dividend paid</t>
  </si>
  <si>
    <t>Other Financing Activities</t>
  </si>
  <si>
    <t>Total Cash Flow From Financing Activites</t>
  </si>
  <si>
    <t>Net Change in Cash</t>
  </si>
  <si>
    <t>Effect of fluctuation in foreign currency translation reserve</t>
  </si>
  <si>
    <t>Cash and cash equivalents at the beginning of the year</t>
  </si>
  <si>
    <t>Cash and cash equivalents at the end of the year</t>
  </si>
  <si>
    <t>Net Profit/(Loss) before taxes (including share in profit from associates and net of minority interest)</t>
  </si>
  <si>
    <t>-</t>
  </si>
  <si>
    <t xml:space="preserve">Purchase and Sale of Fixed Assets </t>
  </si>
  <si>
    <t>VS</t>
  </si>
  <si>
    <t>Key Forecast Assumptions (applied 2027-2029)</t>
  </si>
  <si>
    <t>Driver / Assumption</t>
  </si>
  <si>
    <t>Value</t>
  </si>
  <si>
    <t>Basis / Note</t>
  </si>
  <si>
    <t>Interest Earned growth</t>
  </si>
  <si>
    <t>Interest Expense growth</t>
  </si>
  <si>
    <t>Other Income growth</t>
  </si>
  <si>
    <t>Operating Expenses growth</t>
  </si>
  <si>
    <t>Provisions (% of Advances)</t>
  </si>
  <si>
    <t>Effective Tax Rate</t>
  </si>
  <si>
    <t>Share in Profit of Associates growth</t>
  </si>
  <si>
    <t>Minority Interest growth</t>
  </si>
  <si>
    <t>Basic/Diluted Shares growth</t>
  </si>
  <si>
    <t>Balance Sheet Forecast (2024-2029)</t>
  </si>
  <si>
    <t>Balance Check (Total Assets − Total Capital &amp; Liabilities)</t>
  </si>
  <si>
    <t>Capital growth</t>
  </si>
  <si>
    <t>Minority Interest &amp; Other Equity growth</t>
  </si>
  <si>
    <t>Deposits growth</t>
  </si>
  <si>
    <t>Borrowings growth</t>
  </si>
  <si>
    <t>Balances with Banks &amp; Money at Call growth</t>
  </si>
  <si>
    <t>Investments growth</t>
  </si>
  <si>
    <t>Advances growth</t>
  </si>
  <si>
    <t>Other Assets growth</t>
  </si>
  <si>
    <t>Other Reserve Movements (Rs Cr, flat p.a.)</t>
  </si>
  <si>
    <t>Formula: AVERAGE of (actual reserve change less Net Profit less Dividends) for FY2025 and FY2026 - captures OCI/associate equity pickup etc. not modeled elsewhere</t>
  </si>
  <si>
    <t>Plug</t>
  </si>
  <si>
    <t>Balancing item = Total Assets less all other liabilities &amp; equity, so the Balance Sheet ties out exactly each forecast year</t>
  </si>
  <si>
    <t>Cash Flow Forecast (2024-2029)</t>
  </si>
  <si>
    <t>Depreciation growth</t>
  </si>
  <si>
    <t>Other Operating Activities (% of Net Revenue)</t>
  </si>
  <si>
    <t>Formula: AVERAGE of ratio to 'SBI IS Forecasting' Net Revenue (row 11) each year, FY2024-FY2026</t>
  </si>
  <si>
    <t>Tax paid growth</t>
  </si>
  <si>
    <t>Change in NWC (% of Advances)</t>
  </si>
  <si>
    <t>Formula: AVERAGE of ratio to 'SBI BS Forecasting' Advances (row 21) each year, FY2024-FY2026</t>
  </si>
  <si>
    <t>Purchase/Sale of Investments growth</t>
  </si>
  <si>
    <t>Formula: linked directly to 'SBI BS Forecasting' Investments growth assumption for consistency</t>
  </si>
  <si>
    <t>Capex (% of prior-year Fixed Assets)</t>
  </si>
  <si>
    <t>Formula: AVERAGE of (Purchase of FA / prior-year Fixed Assets) for FY2025 and FY2026</t>
  </si>
  <si>
    <t>Income from Investments in Associates (Rs Cr, flat p.a.)</t>
  </si>
  <si>
    <t>Formula: =E20, i.e. held flat at FY2026 actual (small, historically too volatile to extrapolate)</t>
  </si>
  <si>
    <t>Dividend payout ratio (% of Net Profit)</t>
  </si>
  <si>
    <t>Formula: AVERAGE of (-Dividend paid / Net Profit) each year, referencing 'SBI IS Forecasting'</t>
  </si>
  <si>
    <t>Other Financing Activities growth</t>
  </si>
  <si>
    <t>Formula: AVERAGE of 'SBI BS Forecasting' Deposits growth and Borrowings growth assumptions (normalizes an otherwise extreme, small-base historical growth rate)</t>
  </si>
  <si>
    <t>FX Translation Effect (Rs Cr, flat p.a.)</t>
  </si>
  <si>
    <t>Formula: =E28, i.e. held flat at FY2026 actual (inherently unpredictable currency effect)</t>
  </si>
  <si>
    <t>Average YoY growth, FY2024-FY2026</t>
  </si>
  <si>
    <t>Avg Provisions/Advances FY2024-26; applied to 'SBI BS Forecasting' Advances</t>
  </si>
  <si>
    <t>Average effective tax rate (Tax/PBT), FY2024-FY2026</t>
  </si>
  <si>
    <t>Formula: avg YoY growth, FY2024-FY2026 (row 8)</t>
  </si>
  <si>
    <t>Formula: avg YoY growth, FY2024-FY2026 (row 10)</t>
  </si>
  <si>
    <t>Formula: avg YoY growth, FY2024-FY2026 (row 12)</t>
  </si>
  <si>
    <t>Formula: avg YoY growth, FY2024-FY2026 (row 13)</t>
  </si>
  <si>
    <t>Formula: avg YoY growth, FY2024-FY2026 (row 19)</t>
  </si>
  <si>
    <t>Formula: avg YoY growth, FY2024-FY2026 (row 20)</t>
  </si>
  <si>
    <t>Formula: avg YoY growth, FY2024-FY2026 (row 21)</t>
  </si>
  <si>
    <t>Formula: avg YoY growth, FY2024-FY2026 (row 23)</t>
  </si>
  <si>
    <t>Formula: avg YoY growth, FY2024-FY2026 (row 9)</t>
  </si>
  <si>
    <t>Formula: avg YoY growth, FY2024-FY2026 (row 11)</t>
  </si>
  <si>
    <t>Both banks experienced slower interest-income growth in 2026, with SBI at 5.02% versus HDFC's 3.64%, indicating a smaller slowdown for SBI.</t>
  </si>
  <si>
    <t>Interest expense growth declined for both banks, but HDFC improved more sharply to 0.87% versus SBI's 4.67%, indicating better expense control.</t>
  </si>
  <si>
    <t>HDFC maintained significantly stronger NII growth at 6.99%, while SBI remained stable at 5.58%.</t>
  </si>
  <si>
    <t>SBI outperformed HDFC in other-income growth at 14.26% versus 9.14%, providing stronger non-interest income support.</t>
  </si>
  <si>
    <t>SBI's revenue growth accelerated to 9.72%, while HDFC's slowed to 8.00%, giving SBI the stronger 2026 growth trend.</t>
  </si>
  <si>
    <t>HDFC showed substantially better expense control, with growth slowing to 2.59% compared with SBI's sharp increase to 11.02%.</t>
  </si>
  <si>
    <t>HDFC significantly outperformed SBI, with operating income growth accelerating to 16.65% versus SBI's 7.28%.</t>
  </si>
  <si>
    <t>SBI's provision growth normalized sharply to 7.70%, whereas HDFC experienced a significant increase to 83.52%, creating greater earnings pressure.</t>
  </si>
  <si>
    <t>SBI recorded stronger PBT growth at 7.20% compared with HDFC's 5.44%, despite HDFC's stronger operating-income growth.</t>
  </si>
  <si>
    <t>SBI's tax expense increased 5.53%, while HDFC's declined 3.00%, indicating lower tax-expense growth for HDFC.</t>
  </si>
  <si>
    <t>Both banks delivered similar PAT growth of around 7.8%, with HDFC marginally ahead at 7.87% versus SBI's 7.78%.</t>
  </si>
  <si>
    <t>HDFC recorded strong 20.60% growth in associate profits, while SBI reported a 0.55% decline, favoring HDFC.</t>
  </si>
  <si>
    <t>Minority interest grew faster at SBI (13.70%) than HDFC (7.39%), resulting in relatively greater deduction pressure for SBI.</t>
  </si>
  <si>
    <t>Both banks delivered almost identical net-profit growth of approximately 7.4%, indicating broadly similar bottom-line performance in 2026.</t>
  </si>
  <si>
    <t>Formula: linked directly to 'HDFC BS Forecasting' Investments growth assumption for consistency</t>
  </si>
  <si>
    <t>Balance Sheet  Growth Horizontal</t>
  </si>
  <si>
    <t>Income Statement  Growth Horizontal</t>
  </si>
  <si>
    <t>Cash Flow  Growth Horizontal</t>
  </si>
  <si>
    <t>HDFC's capital growth surged to 101.16%, significantly above SBI's 3.43%, indicating a major increase in HDFC's capital base.</t>
  </si>
  <si>
    <t>SBI recorded stronger growth in reserves and surplus at 22.43% compared with HDFC's 12.13%, indicating greater internal capital accumulation.</t>
  </si>
  <si>
    <t>HDFC's minority interest and other equity grew 33.55%, substantially faster than SBI's 4.12%.</t>
  </si>
  <si>
    <t>HDFC's deposits grew faster at 14.34% versus SBI's 11.09%, indicating stronger deposit expansion.</t>
  </si>
  <si>
    <t>SBI's borrowings increased 27.25%, while HDFC's declined 7.27%, indicating greater reliance on borrowings for SBI.</t>
  </si>
  <si>
    <t>SBI recorded stronger growth of 16.87% versus HDFC's 12.33%, reflecting a larger increase in other liabilities and provisions.</t>
  </si>
  <si>
    <t>SBI's total capital and liabilities grew 13.77%, outperforming HDFC's 11.74%, indicating faster overall balance-sheet expansion.</t>
  </si>
  <si>
    <t>HDFC's cash and RBI balances increased 39.00%, significantly above SBI's 18.11%, indicating stronger liquidity accumulation.</t>
  </si>
  <si>
    <t>SBI's growth slowed sharply to 2.08%, while HDFC grew 5.36%, indicating slightly stronger short-term banking liquidity growth at HDFC.</t>
  </si>
  <si>
    <t>Investment growth remained relatively strong at both banks, with HDFC at 7.90% compared with SBI's 6.98%.</t>
  </si>
  <si>
    <t>SBI's advances grew faster at 17.11% versus HDFC's 11.96%, indicating stronger loan-book expansion at SBI.</t>
  </si>
  <si>
    <t>SBI's fixed assets increased 23.34%, substantially faster than HDFC's 8.09%, indicating greater expansion in its fixed-asset base.</t>
  </si>
  <si>
    <t>SBI's other assets grew 15.78%, slightly above HDFC's 15.21%, indicating broadly similar expansion.</t>
  </si>
  <si>
    <t>SBI's total assets grew 13.77% versus HDFC's 11.74%, indicating faster overall asset growth at SBI.</t>
  </si>
  <si>
    <t xml:space="preserve">SBI expanded its balance sheet faster, driven particularly by advances and borrowings, </t>
  </si>
  <si>
    <t>while HDFC showed stronger deposit, capital and liquidity growth with lower borrowing dependence.</t>
  </si>
  <si>
    <t>PBT growth slowed at both banks, with SBI at 6.91% and HDFC at 5.72%, although SBI maintained slightly stronger growth.</t>
  </si>
  <si>
    <t>SBI's depreciation growth accelerated to 21.00%, double HDFC's 10.24%, indicating a larger increase in depreciation expense at SBI.</t>
  </si>
  <si>
    <t>Other operating adjustments increased significantly at both banks, with HDFC at 50.19% versus SBI's 41.91%.</t>
  </si>
  <si>
    <t>Tax-related cash outflows showed relatively stable growth at SBI, while HDFC's large negative growth reflects a substantial change in tax cash flows and should be interpreted cautiously.</t>
  </si>
  <si>
    <t>SBI moved to a 42.88% increase in the working-capital adjustment, while HDFC recorded a much larger negative movement of 113.28%, indicating significantly different operating cash-flow effects.</t>
  </si>
  <si>
    <t>Operating cash flow declined for both banks in 2026, but SBI's 16.24% decline was greater than HDFC's 10.79% decline.</t>
  </si>
  <si>
    <t>No meaningful year-on-year growth is reported for investment purchases for either bank, indicating no significant comparable movement in this line.</t>
  </si>
  <si>
    <t>Both banks experienced exceptionally large changes in investment-sale cash flows; however, the percentages are heavily distorted by the prior-year base and should be interpreted as major cash-flow swings.</t>
  </si>
  <si>
    <t>SBI's fixed-asset purchases increased sharply by 48.35%, while HDFC's declined 15.41%, indicating substantially higher investment spending by SBI.</t>
  </si>
  <si>
    <t>SBI's income from associates declined 89.67%, while HDFC recorded 19.86% growth, indicating significantly stronger associate-income performance at HDFC.</t>
  </si>
  <si>
    <t>Investing cash flow declined sharply for both banks, with SBI at -87.74% and HDFC at -265.24%, although the magnitude is influenced by changes in investment-sale proceeds.</t>
  </si>
  <si>
    <t>Dividend payments increased at both banks, with HDFC's growth of 39.66% significantly exceeding SBI's 16.06%.</t>
  </si>
  <si>
    <t>SBI recorded a substantial increase of 622.39%, while HDFC's other financing cash flows declined 56.31%, indicating very different financing movements.</t>
  </si>
  <si>
    <t>SBI's financing cash flow declined 68.08%, while HDFC declined 42.42%, indicating a larger negative financing impact on SBI's cash flow.</t>
  </si>
  <si>
    <t>Foreign-currency translation effects increased substantially for both banks, with HDFC rising 457.70% compared with SBI's 341.73%.</t>
  </si>
  <si>
    <t>HDFC recorded a significantly stronger increase in net cash of 193.55%, compared with SBI's 40.02%, indicating stronger cash accumulation at HDFC.</t>
  </si>
  <si>
    <t>Beginning cash balances increased at both banks, with SBI growing 9.60% versus HDFC's 9.23%, indicating broadly similar starting liquidity growth.</t>
  </si>
  <si>
    <t>HDFC's ending cash and equivalents grew 24.80%, substantially above SBI's 12.27%, indicating stronger year-end liquidity growth at HDFC.</t>
  </si>
  <si>
    <t xml:space="preserve">HDFC demonstrated stronger cash accumulation in 2026, with a smaller decline in operating cash flow and significantly higher ending cash growth, </t>
  </si>
  <si>
    <t>while SBI experienced greater pressure from investing and financing cash flows.</t>
  </si>
  <si>
    <t>Base</t>
  </si>
  <si>
    <t xml:space="preserve">HDFC demonstrates stronger overall profitability, with higher NII, net revenue, operating income, PBT and net profit relative to interest earned, </t>
  </si>
  <si>
    <t>while SBI has a lower operating expense burden.</t>
  </si>
  <si>
    <t>SBI's fixed assets represent 0.69% of assets versus HDFC's 0.34%, indicating a relatively higher fixed-asset allocation at SBI.</t>
  </si>
  <si>
    <t xml:space="preserve">HDFC has a more lending-oriented balance sheet with higher advances and liquidity balances, </t>
  </si>
  <si>
    <t>while SBI has greater exposure to investments and relies more heavily on deposits for funding.</t>
  </si>
  <si>
    <t>Neither bank shows a material percentage under this classification in the presented analysis.</t>
  </si>
  <si>
    <t>The contribution is negligible for both banks relative to total assets, indicating limited cash-flow impact from this source.</t>
  </si>
  <si>
    <t xml:space="preserve">HDFC generates substantially stronger operating cash relative to net profit, while </t>
  </si>
  <si>
    <t>investing and financing activities remain relatively small compared with total assets for both banks.</t>
  </si>
  <si>
    <t>While both banks delivered approximately 7.4% net profit growth in 2026, HDFC showed stronger operating efficiency,</t>
  </si>
  <si>
    <t xml:space="preserve"> whereas SBI benefited from normalization in provisions and stronger other-income growth.</t>
  </si>
  <si>
    <t>Income Statement Forecast (2024-2029)</t>
  </si>
  <si>
    <t>DCF Valuation</t>
  </si>
  <si>
    <t>Implied Share Price</t>
  </si>
  <si>
    <t>Today's Share Price</t>
  </si>
  <si>
    <t>Assumptions</t>
  </si>
  <si>
    <t>WACC</t>
  </si>
  <si>
    <t>TGR</t>
  </si>
  <si>
    <t>Revenue</t>
  </si>
  <si>
    <t>% growth</t>
  </si>
  <si>
    <t>EBIT</t>
  </si>
  <si>
    <t>% of Sales</t>
  </si>
  <si>
    <t>Taxes</t>
  </si>
  <si>
    <t>% of EBIT</t>
  </si>
  <si>
    <t>Depreciation and Ammortization</t>
  </si>
  <si>
    <t>CapEx</t>
  </si>
  <si>
    <t>Change in NWC</t>
  </si>
  <si>
    <t>% of sales</t>
  </si>
  <si>
    <t>DCF</t>
  </si>
  <si>
    <t>EBIAT</t>
  </si>
  <si>
    <t>Unlevered FCF</t>
  </si>
  <si>
    <t>Debt</t>
  </si>
  <si>
    <t>% of Debt</t>
  </si>
  <si>
    <t>Cost Of Debt</t>
  </si>
  <si>
    <t>Tax Rate</t>
  </si>
  <si>
    <t>Equity Value</t>
  </si>
  <si>
    <t>% of Equity</t>
  </si>
  <si>
    <t>Cost of Equity</t>
  </si>
  <si>
    <t>Risk Free Rate</t>
  </si>
  <si>
    <t>Beta</t>
  </si>
  <si>
    <t>Market Risk Premium</t>
  </si>
  <si>
    <t>Present Value of FCF</t>
  </si>
  <si>
    <t>Terminal Value</t>
  </si>
  <si>
    <t>Present Value of Terminal Value</t>
  </si>
  <si>
    <t>Enterprise Value</t>
  </si>
  <si>
    <t>Cash</t>
  </si>
  <si>
    <t>Shares</t>
  </si>
  <si>
    <t>Share Price</t>
  </si>
  <si>
    <t>Ratios</t>
  </si>
  <si>
    <t>Category</t>
  </si>
  <si>
    <t>Profitability</t>
  </si>
  <si>
    <t>ROA</t>
  </si>
  <si>
    <t>ROE</t>
  </si>
  <si>
    <t>NIM</t>
  </si>
  <si>
    <t>Net Profit Margin</t>
  </si>
  <si>
    <t>Cost-to-Income Ratio</t>
  </si>
  <si>
    <t>PPOP Margin</t>
  </si>
  <si>
    <t>Liquidity</t>
  </si>
  <si>
    <t>Operating Expense Ratio</t>
  </si>
  <si>
    <t>Loan-to-Deposit Ratio</t>
  </si>
  <si>
    <t>Liquid Assets / Total Assets</t>
  </si>
  <si>
    <t>Liquid Assets / Deposits</t>
  </si>
  <si>
    <t>Cash &amp; RBI / Deposits</t>
  </si>
  <si>
    <t>Cash &amp; RBI / Total Assets</t>
  </si>
  <si>
    <t>Asset Quality</t>
  </si>
  <si>
    <t>Gross NPA Ratio</t>
  </si>
  <si>
    <t>Net NPA Ratio</t>
  </si>
  <si>
    <t>Provision Coverage Ratio</t>
  </si>
  <si>
    <t>Growth Ratios</t>
  </si>
  <si>
    <t>Loan Growth</t>
  </si>
  <si>
    <t>Deposit Growth</t>
  </si>
  <si>
    <t>NII Growth</t>
  </si>
  <si>
    <t>Net Profit Growth</t>
  </si>
  <si>
    <t>Total Asset Growth</t>
  </si>
  <si>
    <t>Net Revenue Growth</t>
  </si>
  <si>
    <t>Operating Income Growth</t>
  </si>
  <si>
    <t>Investment Growth</t>
  </si>
  <si>
    <t>Tier 1 Capital</t>
  </si>
  <si>
    <t>Tier 2 Capital</t>
  </si>
  <si>
    <t>Risk-Weighted Assets</t>
  </si>
  <si>
    <t>CET 1 Capital</t>
  </si>
  <si>
    <t>Total Capital (Tier1 + Tier 2)</t>
  </si>
  <si>
    <t>Capital Adequacy</t>
  </si>
  <si>
    <t>CET1 Ratio</t>
  </si>
  <si>
    <t xml:space="preserve">Tier 1 Ratio </t>
  </si>
  <si>
    <t>CRAR</t>
  </si>
  <si>
    <t>Tier 2 Ratio</t>
  </si>
  <si>
    <t>Efficiency</t>
  </si>
  <si>
    <t>Cost-to-Income</t>
  </si>
  <si>
    <t xml:space="preserve">Asset Utilization </t>
  </si>
  <si>
    <t>Total Employee</t>
  </si>
  <si>
    <t>Total Employees</t>
  </si>
  <si>
    <t>Profit per Employee</t>
  </si>
  <si>
    <t>Leverage Ratio</t>
  </si>
  <si>
    <t>HDFC Bank has fewer bad loans compared with SBI, meaning HDFC's loan quality is better.</t>
  </si>
  <si>
    <t>HDFC also has fewer bad loans after adjusting for provisions, while SBI has improved significantly over the three years.</t>
  </si>
  <si>
    <t>Comments</t>
  </si>
  <si>
    <t>Assumption: Terminal growth rate held below WACC and long-run risk-free rate; 4.0% used as a conservative long-run nominal growth proxy for a mature large-cap Indian bank.</t>
  </si>
  <si>
    <t>Enterprise Value = PV of explicit FY2027-2029 Unlevered FCF + PV of Terminal Value.</t>
  </si>
  <si>
    <t>Interest bearing borrowings excluding customer deposits</t>
  </si>
  <si>
    <t>Debt/ (Debt + Equity Value)</t>
  </si>
  <si>
    <t>Total Interest Expense/ Deposit + Borrowings</t>
  </si>
  <si>
    <t>Taken the current equity value from the internet</t>
  </si>
  <si>
    <t>Equity Value/ (Debt + Equity Value)</t>
  </si>
  <si>
    <t>Risk Free Rate + Beta * Market Risk Premium</t>
  </si>
  <si>
    <t>India's 10 year G Sec yield (source: trading economics)</t>
  </si>
  <si>
    <t>SBI 5 year beta rate</t>
  </si>
  <si>
    <t>As per Aswath Damodaran's country premium update</t>
  </si>
  <si>
    <t>HDFC generates a meaningfully higher Return on Assets than SBI across all three years, reflecting a more profitable, fee/retail-heavy asset base versus SBI's larger, lower-yielding balance sheet.</t>
  </si>
  <si>
    <t>SBI's Return on Equity is higher than HDFC's, mainly because SBI runs on a much thinner equity base relative to assets (higher leverage), which lifts ROE even though its ROA is lower.</t>
  </si>
  <si>
    <t>HDFC's Net Interest Margin is consistently wider than SBI's, indicating HDFC earns more spread on its advances and investments; SBI's NIM has also been gradually compressing over the period.</t>
  </si>
  <si>
    <t>HDFC converts a larger share of Net Revenue into Net Profit than SBI in every year, consistent with HDFC's better cost efficiency and asset quality.</t>
  </si>
  <si>
    <t>HDFC's Cost-to-Income Ratio is lower than SBI's, showing HDFC keeps a smaller share of revenue tied up in operating expenses; SBI has improved this ratio since FY2024 but still lags HDFC.</t>
  </si>
  <si>
    <t>HDFC's Pre-Provision Operating Profit Margin is higher than SBI's in most years, mirroring its lower cost-to-income ratio and stronger core operating profitability.</t>
  </si>
  <si>
    <t>Both banks keep Operating Expenses at a similar, low percentage of Total Assets, with SBI slightly more efficient on this basis in FY2026 despite its larger, lower-margin balance sheet.</t>
  </si>
  <si>
    <t>HDFC's Loan-to-Deposit Ratio is well above 100% in FY2024 and stays near parity thereafter, showing it lends out close to (or more than) its deposit base; SBI runs a more conservative, sub-85% ratio with room to grow advances.</t>
  </si>
  <si>
    <t>SBI holds a larger share of Total Assets in liquid form (cash, interbank balances and investments) than HDFC, consistent with its more conservative balance sheet mix.</t>
  </si>
  <si>
    <t>HDFC holds slightly more liquid assets relative to its deposit base than SBI, even though HDFC's loan book is proportionally larger, pointing to a well-buffered liquidity position.</t>
  </si>
  <si>
    <t>HDFC keeps a higher proportion of Cash &amp; RBI balances against deposits than SBI in every year, though both banks show some year-to-year fluctuation in this cushion.</t>
  </si>
  <si>
    <t>Cash &amp; RBI balances make up a slightly larger share of Total Assets for HDFC than for SBI, though both ratios are relatively stable and modest in size.</t>
  </si>
  <si>
    <t>HDFC's loan book grew more slowly than SBI's in FY2025 but closed the gap in FY2026; SBI has shown consistently strong double-digit advances growth across both years.</t>
  </si>
  <si>
    <t>HDFC has grown deposits faster than SBI in both years, which helps explain why HDFC's Loan-to-Deposit ratio has been able to ease down from FY2024 while still funding strong loan growth.</t>
  </si>
  <si>
    <t>HDFC's Net Interest Income grew sharply in FY2025 before slowing in FY2026, while SBI's NII growth has been steadier but more modest across both years.</t>
  </si>
  <si>
    <t>SBI posted stronger Net Profit growth than HDFC in FY2025, though growth decelerated for both banks by FY2026, converging to a similar mid-single-digit pace.</t>
  </si>
  <si>
    <t>SBI's Total Assets grew faster than HDFC's in FY2026, though HDFC posted the faster growth in FY2025; overall balance-sheet expansion has been broadly comparable between the two banks.</t>
  </si>
  <si>
    <t>HDFC's Net Revenue growth outpaced SBI's in FY2025, but SBI grew revenue faster in FY2026, again showing the two banks trading places year to year.</t>
  </si>
  <si>
    <t>SBI's Operating Income growth was exceptionally strong in FY2025 before slowing sharply in FY2026, while HDFC shows the opposite pattern — accelerating operating income growth into FY2026.</t>
  </si>
  <si>
    <t>HDFC grew its investment book considerably faster than SBI in FY2025, though both banks posted more modest, closer investment growth in FY2026.</t>
  </si>
  <si>
    <t>SBI's Provision Coverage Ratio is significantly higher than HDFC's throughout, meaning SBI has provided for a larger share of its bad loans, which is a more conservative buffer against credit losses.</t>
  </si>
  <si>
    <t>HDFC's CET1 Ratio is well above SBI's in every year, giving HDFC a thicker core-equity capital cushion, even as SBI's CET1 has been improving steadily.</t>
  </si>
  <si>
    <t>HDFC maintains a higher Tier 1 Ratio than SBI across all three years, though SBI's Tier 1 capital position has strengthened noticeably by FY2026.</t>
  </si>
  <si>
    <t>Tier 2 Ratios are broadly similar and modest for both banks, with SBI holding a marginally larger Tier 2 cushion than HDFC in most years.</t>
  </si>
  <si>
    <t>HDFC's overall Capital to Risk-weighted Assets Ratio (CRAR) is markedly higher than SBI's, underscoring HDFC's stronger overall capital adequacy position.</t>
  </si>
  <si>
    <t>HDFC's Leverage Ratio is nearly double SBI's, indicating HDFC holds proportionally more Tier 1 capital against its balance sheet size than SBI does.</t>
  </si>
  <si>
    <t>(Same as Cost-to-Income Ratio above) HDFC continues to operate more efficiently than SBI on a cost-to-revenue basis across all three years.</t>
  </si>
  <si>
    <t>HDFC generates more Net Revenue per unit of Total Assets than SBI, consistent with HDFC's higher-yielding, more fee-oriented business mix.</t>
  </si>
  <si>
    <t>HDFC generates modestly higher Net Profit per Employee than SBI in every year, though SBI's per-employee profitability has been rising at a faster pace, partly closing the gap by FY2026.</t>
  </si>
  <si>
    <t>SBI's interest expense was higher at 61.17% versus HDFC's 53.21%, indicating relatively higher funding costs for SBI.</t>
  </si>
  <si>
    <t>HDFC generated a higher NII contribution of 46.79% versus SBI's 38.83%, indicating a stronger interest spread.</t>
  </si>
  <si>
    <t>HDFC's other income was higher at 42.12% versus SBI's 38.40%, showing greater contribution from non-interest income.</t>
  </si>
  <si>
    <t>HDFC's net revenue represented 88.92% of interest earned versus 77.22% for SBI, indicating stronger revenue generation after interest expense.</t>
  </si>
  <si>
    <t>SBI's operating expenses were marginally lower at 51.01% versus HDFC's 51.97%, though the two banks are now much closer on this measure than in 2025.</t>
  </si>
  <si>
    <t>HDFC generated significantly higher operating income at 36.95% versus SBI's 26.21%, indicating stronger core operating profitability.</t>
  </si>
  <si>
    <t>HDFC's provisions rose sharply to 8.34% versus SBI's 4.07%, indicating a much greater provisioning burden at HDFC in 2026.</t>
  </si>
  <si>
    <t>HDFC's PBT was significantly higher at 28.60% versus SBI's 22.14%, reflecting stronger pre-tax profitability.</t>
  </si>
  <si>
    <t>SBI's and HDFC's tax burdens are now close, at 5.60% and 5.88% of interest earned respectively.</t>
  </si>
  <si>
    <t>HDFC generated 22.72% versus SBI's 16.54%, demonstrating stronger post-tax profitability.</t>
  </si>
  <si>
    <t>SBI recorded a small positive contribution of 0.29% from its share in associates, while HDFC reported no material contribution.</t>
  </si>
  <si>
    <t>HDFC's minority interest deduction of 0.92% was higher than SBI's 0.65%, resulting in a greater reduction from consolidated profit.</t>
  </si>
  <si>
    <t>HDFC's net profit was 21.81% of interest earned versus SBI's 16.18%, indicating substantially stronger overall profitability relative to interest income.</t>
  </si>
  <si>
    <t>Both banks' capital represents a very small proportion of total assets, with HDFC marginally higher at 0.03% versus SBI at 0.01% in 2026.</t>
  </si>
  <si>
    <t>HDFC has a substantially higher reserves-to-assets ratio of 11.82% versus SBI's 7.15%, indicating a stronger relative equity reserve base.</t>
  </si>
  <si>
    <t>HDFC's ratio of 0.55% exceeds SBI's 0.23%, reflecting a greater contribution from minority and other equity interests.</t>
  </si>
  <si>
    <t>SBI has a higher deposit funding proportion at 72.62% versus HDFC's 63.15%, indicating greater reliance on deposits to fund assets.</t>
  </si>
  <si>
    <t>HDFC's borrowings represent 11.99% of assets versus SBI's 9.34%, indicating greater reliance on non-deposit funding.</t>
  </si>
  <si>
    <t>SBI's ratio of 10.65% is lower than HDFC's 12.46%, indicating a greater relative proportion of other liabilities and provisions at HDFC.</t>
  </si>
  <si>
    <t>Both banks equal 100%, as total liabilities and equity must equal total assets.</t>
  </si>
  <si>
    <t>HDFC holds a higher proportion of assets in cash/RBI balances at 4.09% versus SBI's 3.23%, indicating a relatively stronger liquidity position.</t>
  </si>
  <si>
    <t>HDFC's 2.27% is higher than SBI's 1.60%, indicating greater relative placement in interbank/liquid assets.</t>
  </si>
  <si>
    <t>SBI allocates 28.35% of assets to investments versus HDFC's 26.08%, indicating a greater investment allocation at SBI.</t>
  </si>
  <si>
    <t>HDFC has a higher advances-to-assets ratio of 62.16% versus SBI's 59.82%, indicating greater asset deployment toward lending.</t>
  </si>
  <si>
    <t>SBI's other assets are 6.31% versus HDFC's 5.07%, indicating a slightly greater proportion of assets outside the major lending and investment categories.</t>
  </si>
  <si>
    <t>SBI's PBT represents 134.65% of net profit versus HDFC's 130.15%, indicating a slightly higher pre-tax profit relative to final profit at SBI.</t>
  </si>
  <si>
    <t>SBI's depreciation is 5.80% versus HDFC's 5.52%, showing a marginally higher depreciation contribution at SBI.</t>
  </si>
  <si>
    <t>HDFC's other operating adjustments are 39.99% versus SBI's 34.69%, indicating a greater contribution from non-cash/other operating adjustments at HDFC.</t>
  </si>
  <si>
    <t>SBI's tax cash outflow is -43.61% versus HDFC's -29.80%, indicating a larger tax-related cash burden relative to profit for SBI.</t>
  </si>
  <si>
    <t>SBI's working-capital adjustment is -85.79%, while HDFC's is 3.44%, indicating significantly different working-capital effects on operating cash flow.</t>
  </si>
  <si>
    <t>HDFC generated CFO equivalent to 149.30% of net profit versus SBI's 45.74%, demonstrating substantially stronger cash conversion at HDFC.</t>
  </si>
  <si>
    <t>Both banks show a negligible contribution from sale of investments relative to total assets (SBI 0.09%, HDFC 0.20%).</t>
  </si>
  <si>
    <t>Both banks show a small negative contribution from fixed-asset purchases relative to total assets (SBI -0.10%, HDFC -0.07%), indicating limited capex intensity.</t>
  </si>
  <si>
    <t>Investing cash flows represent a very small proportion of total assets for both banks (SBI -0.01%, HDFC 0.13%), indicating limited overall impact on their balance-sheet size.</t>
  </si>
  <si>
    <t>Both banks show a small negative cash-flow contribution from dividends relative to total assets (SBI -0.17%, HDFC -0.42%), with HDFC's payout larger in relative terms.</t>
  </si>
  <si>
    <t>SBI's other financing activities were marginally positive (0.13% of total assets), while HDFC's were negative (-0.78%), reflecting a bigger net financing outflow at HDFC.</t>
  </si>
  <si>
    <t>Total financing cash flows were mildly negative for both banks, with HDFC's outflow (-1.20% of assets) considerably larger than SBI's (-0.04%).</t>
  </si>
  <si>
    <t>The foreign-currency translation effect is small for both banks (SBI 0.12%, HDFC 0.02% of total assets), indicating limited impact from currency adjustments.</t>
  </si>
  <si>
    <t>Both banks show a positive net change in cash relative to total assets, with HDFC's increase (1.26%) more than double SBI's (0.53%).</t>
  </si>
  <si>
    <t>Beginning cash represents a broadly similar proportion of total assets for both banks (SBI 4.30%, HDFC 5.09%), indicating comparable starting liquidity relative to balance-sheet size.</t>
  </si>
  <si>
    <t>Ending cash represents a higher share of assets for HDFC (6.36%) than SBI (4.83%), indicating a relatively stronger year-end liquidity build at HDFC.</t>
  </si>
  <si>
    <t>Dividend Discount Model (DDM) Valuation</t>
  </si>
  <si>
    <t>INR ( Rupees in Crores, except per-share data)</t>
  </si>
  <si>
    <t>Implied Share Price (DDM)</t>
  </si>
  <si>
    <t>Upside / (Downside) to Current Price</t>
  </si>
  <si>
    <t>Cost of Equity (Ke)</t>
  </si>
  <si>
    <t>Terminal Growth Rate (g)</t>
  </si>
  <si>
    <t>Dividend Build</t>
  </si>
  <si>
    <t>Dividend Paid (Total)</t>
  </si>
  <si>
    <t>Dividend Payout Ratio</t>
  </si>
  <si>
    <t>Diluted Shares Outstanding (Cr)</t>
  </si>
  <si>
    <t>Dividend Per Share (Rs)</t>
  </si>
  <si>
    <t>Present Value of Dividends (FY2027-2029)</t>
  </si>
  <si>
    <t>PV of DPS</t>
  </si>
  <si>
    <t>Terminal Value per Share</t>
  </si>
  <si>
    <t>PV of Terminal Value per Share</t>
  </si>
  <si>
    <t>Intrinsic Value per Share (DDM)</t>
  </si>
  <si>
    <t>SBI vs HDFC Bank — Valuation Comparison</t>
  </si>
  <si>
    <t>Dividend Discount Model (DDM) vs FCFF DCF</t>
  </si>
  <si>
    <t>INR ( Rupees in Crores, except per-share, ratio and % data)</t>
  </si>
  <si>
    <t>Metric</t>
  </si>
  <si>
    <t>SBI</t>
  </si>
  <si>
    <t>HDFC</t>
  </si>
  <si>
    <t>Share Price Comparison</t>
  </si>
  <si>
    <t>Actual NSE closing prices as of 14 Aug 2026, linked from each bank's DCF sheet.</t>
  </si>
  <si>
    <t>FCFF DCF Implied Share Price</t>
  </si>
  <si>
    <t>Unlevered free-cash-flow DCF result (see 'SBI DCF' / 'HDFC DCF' sheets); values 100% of cash the business generates, not just what is paid out.</t>
  </si>
  <si>
    <t>FCFF DCF Upside / (Downside)</t>
  </si>
  <si>
    <t>Both banks screen as undervalued on FCFF DCF, though the gap is sensitive to the WACC-vs-terminal-growth spread used in each model (see DCF sheet comments).</t>
  </si>
  <si>
    <t>DDM Implied Share Price</t>
  </si>
  <si>
    <t>Dividend Discount Model result (see 'SBI DDM' / 'HDFC DDM' sheets); values only the dividend actually paid out to shareholders.</t>
  </si>
  <si>
    <t>DDM Upside / (Downside)</t>
  </si>
  <si>
    <t>Both banks show a materially larger downside on DDM than on DCF - expected, since both retain the large majority of profit (see FY2026 payout ratios below: SBI ~17%, HDFC ~27%) to fund loan-book growth and capital ratios, and DDM does not credit that retained value.</t>
  </si>
  <si>
    <t>Average of DCF &amp; DDM Implied Price</t>
  </si>
  <si>
    <t>A simple blend of the two methods; not a substitute for weighing which method's assumptions you trust more for each bank.</t>
  </si>
  <si>
    <t>DDM Assumptions &amp; Drivers</t>
  </si>
  <si>
    <t>CAPM-based cost of equity; HDFC's is slightly higher than SBI's because of its higher beta, despite both sharing the same risk-free rate and equity risk premium.</t>
  </si>
  <si>
    <t>Same 4.0% long-run growth assumption applied to both banks, for comparability.</t>
  </si>
  <si>
    <t>FY2026 Dividend Payout Ratio</t>
  </si>
  <si>
    <t>HDFC pays out a larger share of profit as dividends than SBI, consistent with HDFC's stronger capital-adequacy cushion (see Ratio Analysis sheet).</t>
  </si>
  <si>
    <t>FY2026 Dividend Per Share (Rs)</t>
  </si>
  <si>
    <t>Latest reported (FY2026) dividend per share for each bank.</t>
  </si>
  <si>
    <t>FY2029E Dividend Per Share (Rs)</t>
  </si>
  <si>
    <t>Projected dividend per share at the end of the explicit forecast window, assuming the payout ratio stays at its FY2024-26 average.</t>
  </si>
  <si>
    <t>Terminal Value per Share (Rs)</t>
  </si>
  <si>
    <t>Gordon Growth value of all dividends beyond FY2029, as of end-FY2029, before discounting back to today.</t>
  </si>
  <si>
    <t>PV of Terminal Value per Share (Rs)</t>
  </si>
  <si>
    <t>Terminal value discounted back to today at each bank's cost of equity.</t>
  </si>
  <si>
    <t>PV of Explicit FY2027-29 Dividends (Rs)</t>
  </si>
  <si>
    <t>Sum of the present value of the three explicitly forecast dividend payments; the terminal value (above) still dominates total DDM value for both banks.</t>
  </si>
  <si>
    <t>Interpretation</t>
  </si>
  <si>
    <t>DDM and FCFF DCF are not expected to agree for either bank: DDM only credits shareholders for cash actually distributed as dividends (SBI ~16% of profit, HDFC ~20%), while FCFF DCF credits 100% of cash generated, most of which these banks retain to fund loan-book growth and maintain regulatory capital ratios. For high-growth, low-payout banks like these, FCFF DCF (or an Excess Return / Residual Income model) is generally considered the more complete valuation approach; DDM is best read as a floor/conservative cross-check, not the primary estimate.</t>
  </si>
  <si>
    <t>Gordon Growth terminal value: FY2029 DPS x (1+g) / (Ke-g)</t>
  </si>
  <si>
    <t xml:space="preserve"> PV of explicit FY2027-2029 dividends per share (row 25) + PV of Terminal Value (row 28)</t>
  </si>
  <si>
    <t>DDM values SBI purely on the dividends it pays out (~16% of profit)</t>
  </si>
  <si>
    <t>Linked from 'SBI DCF'!C59 - same CAPM Cost of Equity (Risk-free rate + Beta x Equity Risk Premium)</t>
  </si>
  <si>
    <t>'SBI DCF'!C12 - same 4% long-run terminal growth assumption used for the FCFF DCF</t>
  </si>
  <si>
    <t>PV of explicit FY2027-2029 dividends per share (row 25) + PV of Terminal Value</t>
  </si>
  <si>
    <t>DDM values HDFC purely on the dividends it pays out (~20% of profit)</t>
  </si>
  <si>
    <t>Linked from 'HDFC DCF'!C58 - same CAPM Cost of Equity (Risk-free rate + Beta x Equity Risk Premium)</t>
  </si>
  <si>
    <t>Linked from 'HDFC DCF'!C12 - same 4% long-run terminal growth assumption used for the FCFF DCF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</si>
</sst>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0.0%"/>
    <numFmt numFmtId="166" formatCode="&quot;₹ &quot;#,##0.00"/>
  </numFmts>
  <fonts count="4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4"/>
      <color theme="0"/>
      <name val="Arial"/>
      <family val="2"/>
      <charset val="1"/>
    </font>
    <font>
      <b/>
      <sz val="12"/>
      <color theme="0"/>
      <name val="Arial"/>
      <family val="2"/>
      <charset val="1"/>
    </font>
    <font>
      <i/>
      <sz val="9"/>
      <name val="Arial"/>
      <family val="2"/>
      <charset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"/>
    </font>
    <font>
      <b/>
      <sz val="11"/>
      <color rgb="FFFFFFFF"/>
      <name val="Calibri"/>
      <family val="2"/>
    </font>
    <font>
      <b/>
      <sz val="11"/>
      <name val="Cambria"/>
      <family val="1"/>
    </font>
    <font>
      <sz val="11"/>
      <color rgb="FF0000FF"/>
      <name val="Cambria"/>
      <family val="1"/>
    </font>
    <font>
      <i/>
      <sz val="9"/>
      <name val="Cambria"/>
      <family val="1"/>
    </font>
    <font>
      <i/>
      <sz val="11"/>
      <color theme="1"/>
      <name val="Calibri"/>
      <family val="2"/>
      <charset val="1"/>
    </font>
    <font>
      <i/>
      <sz val="11"/>
      <color rgb="FF008000"/>
      <name val="Cambria"/>
      <family val="1"/>
    </font>
    <font>
      <i/>
      <sz val="11"/>
      <name val="Cambria"/>
      <family val="1"/>
    </font>
    <font>
      <i/>
      <sz val="9"/>
      <color rgb="FF808080"/>
      <name val="Cambria"/>
      <family val="1"/>
    </font>
    <font>
      <i/>
      <sz val="11"/>
      <color rgb="FF808080"/>
      <name val="Cambria"/>
      <family val="1"/>
    </font>
    <font>
      <b/>
      <sz val="24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i/>
      <sz val="9"/>
      <name val="Arial"/>
      <family val="2"/>
    </font>
    <font>
      <b/>
      <sz val="11"/>
      <color theme="0"/>
      <name val="Arial"/>
      <family val="2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1"/>
      <color rgb="FF008000"/>
      <name val="Times New Roman"/>
      <family val="1"/>
    </font>
    <font>
      <b/>
      <sz val="11"/>
      <color rgb="FFFFFFFF"/>
      <name val="Times New Roman"/>
      <family val="1"/>
    </font>
    <font>
      <b/>
      <sz val="11"/>
      <name val="Times New Roman"/>
      <family val="1"/>
    </font>
    <font>
      <sz val="11"/>
      <color rgb="FF0000FF"/>
      <name val="Times New Roman"/>
      <family val="1"/>
    </font>
    <font>
      <i/>
      <sz val="9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0"/>
      <name val="Times New Roman"/>
      <family val="1"/>
    </font>
    <font>
      <i/>
      <sz val="10"/>
      <color theme="1"/>
      <name val="Times New Roman"/>
      <family val="1"/>
      <charset val="1"/>
    </font>
    <font>
      <sz val="11"/>
      <color theme="1"/>
      <name val="Arial"/>
      <family val="2"/>
      <charset val="1"/>
    </font>
    <font>
      <i/>
      <sz val="10"/>
      <color theme="1"/>
      <name val="Cambria"/>
      <family val="1"/>
      <charset val="1"/>
    </font>
    <font>
      <sz val="11"/>
      <color theme="1"/>
      <name val="Times New Roman"/>
      <family val="1"/>
      <charset val="1"/>
    </font>
    <font>
      <b/>
      <sz val="11"/>
      <color theme="1"/>
      <name val="Arial"/>
      <family val="2"/>
      <charset val="1"/>
    </font>
    <font>
      <b/>
      <i/>
      <sz val="11"/>
      <color theme="1"/>
      <name val="Times New Roman"/>
      <family val="1"/>
      <charset val="1"/>
    </font>
    <font>
      <b/>
      <sz val="11"/>
      <color theme="0"/>
      <name val="Arial"/>
      <family val="2"/>
      <charset val="1"/>
    </font>
    <font>
      <b/>
      <sz val="11"/>
      <color theme="1"/>
      <name val="Calibri"/>
      <family val="2"/>
      <charset val="1"/>
    </font>
    <font>
      <sz val="11"/>
      <name val="Times New Roman"/>
      <family val="1"/>
      <charset val="1"/>
    </font>
  </fonts>
  <fills count="2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rgb="FF1F4E78"/>
      </patternFill>
    </fill>
    <fill>
      <patternFill patternType="solid">
        <fgColor theme="4" tint="-0.249977111117893"/>
        <bgColor rgb="FF0066CC"/>
      </patternFill>
    </fill>
    <fill>
      <patternFill patternType="solid">
        <fgColor theme="4" tint="0.39988402966399123"/>
        <bgColor rgb="FFC0C0C0"/>
      </patternFill>
    </fill>
    <fill>
      <patternFill patternType="solid">
        <fgColor theme="4" tint="0.59987182226020086"/>
        <bgColor rgb="FFD9E1F2"/>
      </patternFill>
    </fill>
    <fill>
      <patternFill patternType="solid">
        <fgColor rgb="FF1F4E78"/>
        <bgColor rgb="FF1F4E79"/>
      </patternFill>
    </fill>
    <fill>
      <patternFill patternType="solid">
        <fgColor rgb="FFD9E1F2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87182226020086"/>
        <bgColor rgb="FF9DC3E6"/>
      </patternFill>
    </fill>
    <fill>
      <patternFill patternType="solid">
        <fgColor theme="4" tint="0.39988402966399123"/>
        <bgColor rgb="FFB4C7E7"/>
      </patternFill>
    </fill>
    <fill>
      <patternFill patternType="solid">
        <fgColor theme="4" tint="0.59987182226020086"/>
        <bgColor rgb="FFB4C7E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25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2" borderId="0" xfId="0" applyFont="1" applyFill="1"/>
    <xf numFmtId="10" fontId="0" fillId="0" borderId="0" xfId="1" applyNumberFormat="1" applyFont="1"/>
    <xf numFmtId="0" fontId="6" fillId="7" borderId="0" xfId="0" applyFont="1" applyFill="1"/>
    <xf numFmtId="166" fontId="0" fillId="0" borderId="0" xfId="0" applyNumberFormat="1"/>
    <xf numFmtId="166" fontId="0" fillId="9" borderId="0" xfId="0" applyNumberFormat="1" applyFill="1"/>
    <xf numFmtId="0" fontId="8" fillId="11" borderId="0" xfId="0" applyFont="1" applyFill="1"/>
    <xf numFmtId="165" fontId="9" fillId="12" borderId="0" xfId="0" applyNumberFormat="1" applyFont="1" applyFill="1"/>
    <xf numFmtId="166" fontId="0" fillId="8" borderId="0" xfId="0" applyNumberFormat="1" applyFill="1"/>
    <xf numFmtId="166" fontId="11" fillId="0" borderId="0" xfId="0" applyNumberFormat="1" applyFont="1"/>
    <xf numFmtId="166" fontId="12" fillId="0" borderId="0" xfId="0" applyNumberFormat="1" applyFont="1"/>
    <xf numFmtId="0" fontId="11" fillId="0" borderId="0" xfId="0" applyFont="1"/>
    <xf numFmtId="166" fontId="13" fillId="0" borderId="0" xfId="0" applyNumberFormat="1" applyFont="1"/>
    <xf numFmtId="166" fontId="11" fillId="9" borderId="0" xfId="0" applyNumberFormat="1" applyFont="1" applyFill="1"/>
    <xf numFmtId="166" fontId="10" fillId="9" borderId="0" xfId="0" applyNumberFormat="1" applyFont="1" applyFill="1"/>
    <xf numFmtId="2" fontId="14" fillId="9" borderId="0" xfId="0" applyNumberFormat="1" applyFont="1" applyFill="1"/>
    <xf numFmtId="166" fontId="9" fillId="12" borderId="0" xfId="0" applyNumberFormat="1" applyFont="1" applyFill="1"/>
    <xf numFmtId="0" fontId="13" fillId="0" borderId="0" xfId="0" applyFont="1"/>
    <xf numFmtId="0" fontId="15" fillId="0" borderId="0" xfId="0" applyFont="1"/>
    <xf numFmtId="0" fontId="18" fillId="0" borderId="0" xfId="0" applyFont="1"/>
    <xf numFmtId="0" fontId="21" fillId="2" borderId="0" xfId="0" applyFont="1" applyFill="1"/>
    <xf numFmtId="0" fontId="22" fillId="0" borderId="0" xfId="0" applyFont="1"/>
    <xf numFmtId="10" fontId="22" fillId="0" borderId="0" xfId="1" applyNumberFormat="1" applyFont="1"/>
    <xf numFmtId="0" fontId="22" fillId="3" borderId="0" xfId="0" applyFont="1" applyFill="1"/>
    <xf numFmtId="0" fontId="23" fillId="0" borderId="0" xfId="0" applyFont="1"/>
    <xf numFmtId="0" fontId="22" fillId="5" borderId="0" xfId="0" applyFont="1" applyFill="1"/>
    <xf numFmtId="164" fontId="22" fillId="5" borderId="0" xfId="0" applyNumberFormat="1" applyFont="1" applyFill="1"/>
    <xf numFmtId="164" fontId="22" fillId="0" borderId="0" xfId="0" applyNumberFormat="1" applyFont="1"/>
    <xf numFmtId="164" fontId="22" fillId="3" borderId="0" xfId="0" applyNumberFormat="1" applyFont="1" applyFill="1"/>
    <xf numFmtId="4" fontId="22" fillId="0" borderId="0" xfId="0" applyNumberFormat="1" applyFont="1"/>
    <xf numFmtId="0" fontId="24" fillId="5" borderId="0" xfId="0" applyFont="1" applyFill="1"/>
    <xf numFmtId="0" fontId="22" fillId="0" borderId="0" xfId="0" applyFont="1" applyAlignment="1">
      <alignment horizontal="center"/>
    </xf>
    <xf numFmtId="164" fontId="22" fillId="0" borderId="0" xfId="0" applyNumberFormat="1" applyFont="1" applyAlignment="1">
      <alignment horizontal="center"/>
    </xf>
    <xf numFmtId="4" fontId="22" fillId="3" borderId="0" xfId="0" applyNumberFormat="1" applyFont="1" applyFill="1"/>
    <xf numFmtId="4" fontId="22" fillId="5" borderId="0" xfId="0" applyNumberFormat="1" applyFont="1" applyFill="1"/>
    <xf numFmtId="166" fontId="22" fillId="0" borderId="0" xfId="0" applyNumberFormat="1" applyFont="1"/>
    <xf numFmtId="0" fontId="22" fillId="9" borderId="0" xfId="0" applyFont="1" applyFill="1"/>
    <xf numFmtId="166" fontId="22" fillId="9" borderId="0" xfId="0" applyNumberFormat="1" applyFont="1" applyFill="1"/>
    <xf numFmtId="166" fontId="25" fillId="0" borderId="0" xfId="0" applyNumberFormat="1" applyFont="1"/>
    <xf numFmtId="0" fontId="27" fillId="11" borderId="0" xfId="0" applyFont="1" applyFill="1"/>
    <xf numFmtId="165" fontId="28" fillId="12" borderId="0" xfId="0" applyNumberFormat="1" applyFont="1" applyFill="1"/>
    <xf numFmtId="0" fontId="29" fillId="0" borderId="0" xfId="0" applyFont="1" applyAlignment="1">
      <alignment vertical="top" wrapText="1"/>
    </xf>
    <xf numFmtId="0" fontId="22" fillId="8" borderId="0" xfId="0" applyFont="1" applyFill="1"/>
    <xf numFmtId="0" fontId="24" fillId="8" borderId="0" xfId="0" applyFont="1" applyFill="1"/>
    <xf numFmtId="166" fontId="25" fillId="9" borderId="0" xfId="0" applyNumberFormat="1" applyFont="1" applyFill="1"/>
    <xf numFmtId="166" fontId="22" fillId="0" borderId="0" xfId="0" applyNumberFormat="1" applyFont="1" applyAlignment="1">
      <alignment horizontal="center"/>
    </xf>
    <xf numFmtId="4" fontId="22" fillId="9" borderId="0" xfId="0" applyNumberFormat="1" applyFont="1" applyFill="1"/>
    <xf numFmtId="166" fontId="22" fillId="8" borderId="0" xfId="0" applyNumberFormat="1" applyFont="1" applyFill="1"/>
    <xf numFmtId="166" fontId="25" fillId="8" borderId="0" xfId="0" applyNumberFormat="1" applyFont="1" applyFill="1"/>
    <xf numFmtId="4" fontId="22" fillId="8" borderId="0" xfId="0" applyNumberFormat="1" applyFont="1" applyFill="1"/>
    <xf numFmtId="166" fontId="28" fillId="12" borderId="0" xfId="0" applyNumberFormat="1" applyFont="1" applyFill="1"/>
    <xf numFmtId="10" fontId="22" fillId="0" borderId="0" xfId="1" applyNumberFormat="1" applyFont="1" applyAlignment="1">
      <alignment horizontal="center"/>
    </xf>
    <xf numFmtId="0" fontId="30" fillId="0" borderId="0" xfId="0" applyFont="1"/>
    <xf numFmtId="3" fontId="0" fillId="0" borderId="0" xfId="0" applyNumberFormat="1"/>
    <xf numFmtId="0" fontId="31" fillId="7" borderId="0" xfId="0" applyFont="1" applyFill="1"/>
    <xf numFmtId="10" fontId="22" fillId="0" borderId="0" xfId="0" applyNumberFormat="1" applyFont="1"/>
    <xf numFmtId="0" fontId="32" fillId="0" borderId="0" xfId="0" applyFont="1"/>
    <xf numFmtId="0" fontId="22" fillId="0" borderId="1" xfId="0" applyFont="1" applyBorder="1"/>
    <xf numFmtId="166" fontId="22" fillId="0" borderId="2" xfId="0" applyNumberFormat="1" applyFont="1" applyBorder="1"/>
    <xf numFmtId="166" fontId="22" fillId="0" borderId="5" xfId="0" applyNumberFormat="1" applyFont="1" applyBorder="1"/>
    <xf numFmtId="10" fontId="31" fillId="7" borderId="0" xfId="0" applyNumberFormat="1" applyFont="1" applyFill="1"/>
    <xf numFmtId="0" fontId="22" fillId="0" borderId="0" xfId="0" applyFont="1" applyAlignment="1">
      <alignment horizontal="right"/>
    </xf>
    <xf numFmtId="3" fontId="22" fillId="0" borderId="0" xfId="0" applyNumberFormat="1" applyFont="1"/>
    <xf numFmtId="2" fontId="22" fillId="0" borderId="0" xfId="0" applyNumberFormat="1" applyFont="1"/>
    <xf numFmtId="166" fontId="22" fillId="0" borderId="1" xfId="0" applyNumberFormat="1" applyFont="1" applyBorder="1"/>
    <xf numFmtId="166" fontId="22" fillId="0" borderId="4" xfId="0" applyNumberFormat="1" applyFont="1" applyBorder="1"/>
    <xf numFmtId="0" fontId="34" fillId="0" borderId="0" xfId="0" applyFont="1" applyAlignment="1">
      <alignment horizontal="center"/>
    </xf>
    <xf numFmtId="10" fontId="35" fillId="0" borderId="0" xfId="0" applyNumberFormat="1" applyFont="1"/>
    <xf numFmtId="10" fontId="0" fillId="0" borderId="0" xfId="0" applyNumberFormat="1"/>
    <xf numFmtId="0" fontId="33" fillId="0" borderId="0" xfId="0" applyFont="1"/>
    <xf numFmtId="0" fontId="37" fillId="0" borderId="0" xfId="0" applyFont="1"/>
    <xf numFmtId="0" fontId="38" fillId="7" borderId="0" xfId="0" applyFont="1" applyFill="1"/>
    <xf numFmtId="0" fontId="35" fillId="0" borderId="0" xfId="0" applyFont="1"/>
    <xf numFmtId="0" fontId="35" fillId="16" borderId="0" xfId="0" applyFont="1" applyFill="1"/>
    <xf numFmtId="10" fontId="35" fillId="0" borderId="0" xfId="0" applyNumberFormat="1" applyFont="1" applyAlignment="1">
      <alignment horizontal="center"/>
    </xf>
    <xf numFmtId="0" fontId="35" fillId="15" borderId="0" xfId="0" applyFont="1" applyFill="1"/>
    <xf numFmtId="166" fontId="35" fillId="15" borderId="0" xfId="0" applyNumberFormat="1" applyFont="1" applyFill="1"/>
    <xf numFmtId="166" fontId="35" fillId="0" borderId="0" xfId="0" applyNumberFormat="1" applyFont="1"/>
    <xf numFmtId="166" fontId="35" fillId="16" borderId="0" xfId="0" applyNumberFormat="1" applyFont="1" applyFill="1"/>
    <xf numFmtId="0" fontId="39" fillId="0" borderId="0" xfId="0" applyFont="1" applyAlignment="1">
      <alignment vertical="center" wrapText="1"/>
    </xf>
    <xf numFmtId="0" fontId="40" fillId="15" borderId="0" xfId="0" applyFont="1" applyFill="1"/>
    <xf numFmtId="4" fontId="35" fillId="0" borderId="0" xfId="0" applyNumberFormat="1" applyFont="1"/>
    <xf numFmtId="0" fontId="39" fillId="0" borderId="0" xfId="0" applyFont="1"/>
    <xf numFmtId="0" fontId="34" fillId="0" borderId="0" xfId="0" applyFont="1" applyAlignment="1">
      <alignment horizontal="left"/>
    </xf>
    <xf numFmtId="0" fontId="0" fillId="0" borderId="0" xfId="0" applyAlignment="1">
      <alignment horizontal="left"/>
    </xf>
    <xf numFmtId="0" fontId="31" fillId="2" borderId="0" xfId="0" applyFont="1" applyFill="1"/>
    <xf numFmtId="166" fontId="35" fillId="17" borderId="0" xfId="0" applyNumberFormat="1" applyFont="1" applyFill="1"/>
    <xf numFmtId="10" fontId="35" fillId="17" borderId="0" xfId="0" applyNumberFormat="1" applyFont="1" applyFill="1"/>
    <xf numFmtId="4" fontId="35" fillId="17" borderId="0" xfId="0" applyNumberFormat="1" applyFont="1" applyFill="1"/>
    <xf numFmtId="166" fontId="0" fillId="18" borderId="1" xfId="0" applyNumberFormat="1" applyFill="1" applyBorder="1"/>
    <xf numFmtId="166" fontId="0" fillId="18" borderId="2" xfId="0" applyNumberFormat="1" applyFill="1" applyBorder="1"/>
    <xf numFmtId="166" fontId="0" fillId="18" borderId="3" xfId="0" applyNumberFormat="1" applyFill="1" applyBorder="1"/>
    <xf numFmtId="166" fontId="35" fillId="18" borderId="0" xfId="0" applyNumberFormat="1" applyFont="1" applyFill="1"/>
    <xf numFmtId="10" fontId="35" fillId="18" borderId="0" xfId="0" applyNumberFormat="1" applyFont="1" applyFill="1"/>
    <xf numFmtId="4" fontId="35" fillId="18" borderId="0" xfId="0" applyNumberFormat="1" applyFont="1" applyFill="1"/>
    <xf numFmtId="166" fontId="0" fillId="19" borderId="1" xfId="0" applyNumberFormat="1" applyFill="1" applyBorder="1"/>
    <xf numFmtId="166" fontId="0" fillId="19" borderId="2" xfId="0" applyNumberFormat="1" applyFill="1" applyBorder="1"/>
    <xf numFmtId="166" fontId="0" fillId="19" borderId="3" xfId="0" applyNumberFormat="1" applyFill="1" applyBorder="1"/>
    <xf numFmtId="166" fontId="22" fillId="19" borderId="2" xfId="0" applyNumberFormat="1" applyFont="1" applyFill="1" applyBorder="1"/>
    <xf numFmtId="166" fontId="22" fillId="18" borderId="0" xfId="0" applyNumberFormat="1" applyFont="1" applyFill="1"/>
    <xf numFmtId="10" fontId="22" fillId="18" borderId="0" xfId="0" applyNumberFormat="1" applyFont="1" applyFill="1"/>
    <xf numFmtId="0" fontId="2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26" fillId="10" borderId="0" xfId="0" applyFont="1" applyFill="1"/>
    <xf numFmtId="0" fontId="10" fillId="0" borderId="0" xfId="0" applyFont="1" applyAlignment="1">
      <alignment horizontal="center" vertical="top" wrapText="1"/>
    </xf>
    <xf numFmtId="0" fontId="7" fillId="10" borderId="0" xfId="0" applyFont="1" applyFill="1"/>
    <xf numFmtId="0" fontId="29" fillId="0" borderId="0" xfId="0" applyFont="1" applyAlignment="1">
      <alignment horizontal="center" vertical="top" wrapText="1"/>
    </xf>
    <xf numFmtId="0" fontId="27" fillId="11" borderId="0" xfId="0" applyFont="1" applyFill="1" applyAlignment="1">
      <alignment horizontal="center"/>
    </xf>
    <xf numFmtId="0" fontId="16" fillId="4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/>
    </xf>
    <xf numFmtId="0" fontId="17" fillId="13" borderId="0" xfId="0" applyFont="1" applyFill="1" applyAlignment="1">
      <alignment horizontal="center" vertical="center"/>
    </xf>
    <xf numFmtId="0" fontId="29" fillId="0" borderId="0" xfId="0" applyFont="1" applyAlignment="1">
      <alignment horizontal="left" vertical="top" wrapText="1"/>
    </xf>
    <xf numFmtId="0" fontId="36" fillId="14" borderId="0" xfId="0" applyFont="1" applyFill="1" applyAlignment="1">
      <alignment horizontal="center" vertical="center"/>
    </xf>
    <xf numFmtId="0" fontId="23" fillId="0" borderId="0" xfId="0" applyFont="1" applyAlignment="1">
      <alignment horizontal="center"/>
    </xf>
    <xf numFmtId="0" fontId="31" fillId="7" borderId="0" xfId="0" applyFont="1" applyFill="1" applyAlignment="1">
      <alignment horizontal="center"/>
    </xf>
    <xf numFmtId="0" fontId="34" fillId="0" borderId="0" xfId="0" applyFont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SBI_vs_HDFC_Analysis_3.xlsx" TargetMode="External"/><Relationship Id="rId2" Type="http://schemas.openxmlformats.org/officeDocument/2006/relationships/externalLinkPath" Target="file:///C:\Users\ABIRVAB%20PC\Downloads\SBI_vs_HDFC_Analysis_3.xlsx" TargetMode="External"/><Relationship Id="rId1" Type="http://schemas.openxmlformats.org/officeDocument/2006/relationships/externalLinkPath" Target="/Users/ABIRVAB%20PC/Downloads/SBI_vs_HDFC_Analysis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BI IS"/>
      <sheetName val="SBI BS"/>
      <sheetName val="SBI CF"/>
      <sheetName val="SBI IS Forecasting"/>
      <sheetName val="SBI BS Forecasting"/>
      <sheetName val="SBI CF Forecasting"/>
      <sheetName val="SBI DCF Valuation"/>
      <sheetName val="HDFC IS"/>
      <sheetName val="HDFC BS"/>
      <sheetName val="HDFC CF"/>
      <sheetName val="Horizontal Analysis"/>
    </sheetNames>
    <sheetDataSet>
      <sheetData sheetId="0"/>
      <sheetData sheetId="1"/>
      <sheetData sheetId="2"/>
      <sheetData sheetId="3">
        <row r="17">
          <cell r="C17">
            <v>91240.037599999996</v>
          </cell>
          <cell r="D17">
            <v>106365.29350000001</v>
          </cell>
          <cell r="E17">
            <v>114027.98170000003</v>
          </cell>
        </row>
        <row r="20">
          <cell r="C20">
            <v>1405.1542999999999</v>
          </cell>
          <cell r="D20">
            <v>1505.4709</v>
          </cell>
          <cell r="E20">
            <v>1497.1990000000001</v>
          </cell>
        </row>
        <row r="21">
          <cell r="C21">
            <v>2458.7491</v>
          </cell>
          <cell r="D21">
            <v>2961.2882</v>
          </cell>
          <cell r="E21">
            <v>3366.8852000000002</v>
          </cell>
        </row>
        <row r="22">
          <cell r="G22">
            <v>113324.89864434002</v>
          </cell>
          <cell r="H22">
            <v>129872.06188368922</v>
          </cell>
        </row>
      </sheetData>
      <sheetData sheetId="4">
        <row r="18">
          <cell r="C18">
            <v>225356.33609999999</v>
          </cell>
          <cell r="D18">
            <v>227485.1569</v>
          </cell>
        </row>
        <row r="19">
          <cell r="C19">
            <v>101215.96739999999</v>
          </cell>
          <cell r="D19">
            <v>130447.7859</v>
          </cell>
        </row>
      </sheetData>
      <sheetData sheetId="5">
        <row r="9">
          <cell r="F9">
            <v>5426.1668744869612</v>
          </cell>
          <cell r="G9">
            <v>6096.2739235795207</v>
          </cell>
          <cell r="H9">
            <v>6849.1361601977114</v>
          </cell>
        </row>
        <row r="19">
          <cell r="F19">
            <v>-8760.4980959475724</v>
          </cell>
          <cell r="G19">
            <v>-9271.5974545439331</v>
          </cell>
          <cell r="H19">
            <v>-9758.3234911075488</v>
          </cell>
        </row>
        <row r="24">
          <cell r="F24">
            <v>-15713.514418714602</v>
          </cell>
          <cell r="G24">
            <v>-18068.572262928781</v>
          </cell>
          <cell r="H24">
            <v>-20706.859332348478</v>
          </cell>
        </row>
        <row r="32">
          <cell r="F32">
            <v>454041.43725833885</v>
          </cell>
          <cell r="G32">
            <v>513722.65784915455</v>
          </cell>
          <cell r="H32">
            <v>581624.84377622081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53E2-8A63-4F6C-A374-1323FCB85898}">
  <dimension ref="A1:E2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5" sqref="B1:E5"/>
    </sheetView>
  </sheetViews>
  <sheetFormatPr defaultRowHeight="15" x14ac:dyDescent="0.25"/>
  <cols>
    <col min="1" max="1" width="2.28515625" customWidth="1"/>
    <col min="2" max="2" width="34.85546875" bestFit="1" customWidth="1"/>
    <col min="3" max="5" width="17.140625" customWidth="1"/>
    <col min="12" max="12" width="9.140625" customWidth="1"/>
  </cols>
  <sheetData>
    <row r="1" spans="1:5" ht="15" customHeight="1" x14ac:dyDescent="0.25">
      <c r="A1" s="106"/>
      <c r="B1" s="107" t="s">
        <v>20</v>
      </c>
      <c r="C1" s="107"/>
      <c r="D1" s="107"/>
      <c r="E1" s="107"/>
    </row>
    <row r="2" spans="1:5" ht="15" customHeight="1" x14ac:dyDescent="0.25">
      <c r="A2" s="106"/>
      <c r="B2" s="107"/>
      <c r="C2" s="107"/>
      <c r="D2" s="107"/>
      <c r="E2" s="107"/>
    </row>
    <row r="3" spans="1:5" ht="15.75" customHeight="1" x14ac:dyDescent="0.25">
      <c r="A3" s="106"/>
      <c r="B3" s="108" t="s">
        <v>39</v>
      </c>
      <c r="C3" s="108"/>
      <c r="D3" s="108"/>
      <c r="E3" s="108"/>
    </row>
    <row r="4" spans="1:5" ht="15" customHeight="1" x14ac:dyDescent="0.25">
      <c r="A4" s="106"/>
      <c r="B4" s="109" t="s">
        <v>19</v>
      </c>
      <c r="C4" s="109"/>
      <c r="D4" s="109"/>
      <c r="E4" s="109"/>
    </row>
    <row r="5" spans="1:5" x14ac:dyDescent="0.25">
      <c r="A5" s="106"/>
      <c r="B5" s="3" t="s">
        <v>0</v>
      </c>
      <c r="C5" s="3">
        <v>2024</v>
      </c>
      <c r="D5" s="3">
        <v>2025</v>
      </c>
      <c r="E5" s="3">
        <v>2026</v>
      </c>
    </row>
    <row r="6" spans="1:5" x14ac:dyDescent="0.25">
      <c r="A6" s="106"/>
    </row>
    <row r="7" spans="1:5" x14ac:dyDescent="0.25">
      <c r="A7" s="106"/>
      <c r="B7" s="23" t="s">
        <v>1</v>
      </c>
      <c r="C7" s="29">
        <v>439188.5123</v>
      </c>
      <c r="D7" s="29">
        <v>490312.69890000002</v>
      </c>
      <c r="E7" s="29">
        <v>514932.59039999999</v>
      </c>
    </row>
    <row r="8" spans="1:5" x14ac:dyDescent="0.25">
      <c r="A8" s="106"/>
      <c r="B8" s="23" t="s">
        <v>3</v>
      </c>
      <c r="C8" s="29">
        <v>259736.04810000001</v>
      </c>
      <c r="D8" s="29">
        <v>300943.33529999998</v>
      </c>
      <c r="E8" s="29">
        <v>315004.80839999998</v>
      </c>
    </row>
    <row r="9" spans="1:5" x14ac:dyDescent="0.25">
      <c r="A9" s="106"/>
      <c r="B9" s="25" t="s">
        <v>9</v>
      </c>
      <c r="C9" s="30">
        <f t="shared" ref="C9" si="0">C7-C8</f>
        <v>179452.46419999999</v>
      </c>
      <c r="D9" s="30">
        <f>D7-D8</f>
        <v>189369.36360000004</v>
      </c>
      <c r="E9" s="30">
        <f>E7-E8</f>
        <v>199927.78200000001</v>
      </c>
    </row>
    <row r="10" spans="1:5" x14ac:dyDescent="0.25">
      <c r="A10" s="106"/>
      <c r="B10" s="23" t="s">
        <v>2</v>
      </c>
      <c r="C10" s="29">
        <v>155386.3922</v>
      </c>
      <c r="D10" s="29">
        <v>173030.61850000001</v>
      </c>
      <c r="E10" s="29">
        <v>197710.9381</v>
      </c>
    </row>
    <row r="11" spans="1:5" x14ac:dyDescent="0.25">
      <c r="A11" s="106"/>
      <c r="B11" s="25" t="s">
        <v>8</v>
      </c>
      <c r="C11" s="30">
        <f t="shared" ref="C11" si="1">C9+C10</f>
        <v>334838.85639999999</v>
      </c>
      <c r="D11" s="30">
        <f>D9+D10</f>
        <v>362399.98210000002</v>
      </c>
      <c r="E11" s="30">
        <f>E9+E10</f>
        <v>397638.72010000004</v>
      </c>
    </row>
    <row r="12" spans="1:5" x14ac:dyDescent="0.25">
      <c r="A12" s="106"/>
      <c r="B12" s="23"/>
      <c r="C12" s="23"/>
      <c r="D12" s="23"/>
      <c r="E12" s="23"/>
    </row>
    <row r="13" spans="1:5" x14ac:dyDescent="0.25">
      <c r="A13" s="106"/>
      <c r="B13" s="23" t="s">
        <v>4</v>
      </c>
      <c r="C13" s="23">
        <v>235893.8388</v>
      </c>
      <c r="D13" s="29">
        <v>236573.51860000001</v>
      </c>
      <c r="E13" s="29">
        <v>262650.44839999999</v>
      </c>
    </row>
    <row r="14" spans="1:5" x14ac:dyDescent="0.25">
      <c r="A14" s="106"/>
      <c r="B14" s="25" t="s">
        <v>10</v>
      </c>
      <c r="C14" s="30">
        <f t="shared" ref="C14:D14" si="2">C11-C13</f>
        <v>98945.017599999992</v>
      </c>
      <c r="D14" s="30">
        <f t="shared" si="2"/>
        <v>125826.46350000001</v>
      </c>
      <c r="E14" s="30">
        <f>E11-E13</f>
        <v>134988.27170000004</v>
      </c>
    </row>
    <row r="15" spans="1:5" x14ac:dyDescent="0.25">
      <c r="A15" s="106"/>
      <c r="B15" s="23"/>
      <c r="C15" s="29"/>
      <c r="D15" s="29"/>
      <c r="E15" s="29"/>
    </row>
    <row r="16" spans="1:5" x14ac:dyDescent="0.25">
      <c r="A16" s="106"/>
      <c r="B16" s="23" t="s">
        <v>11</v>
      </c>
      <c r="C16" s="29">
        <v>7704.98</v>
      </c>
      <c r="D16" s="29">
        <v>19461.169999999998</v>
      </c>
      <c r="E16" s="29">
        <v>20960.29</v>
      </c>
    </row>
    <row r="17" spans="1:5" x14ac:dyDescent="0.25">
      <c r="A17" s="106"/>
      <c r="B17" s="25" t="s">
        <v>5</v>
      </c>
      <c r="C17" s="30">
        <f t="shared" ref="C17:D17" si="3">C14-C16</f>
        <v>91240.037599999996</v>
      </c>
      <c r="D17" s="30">
        <f t="shared" si="3"/>
        <v>106365.29350000001</v>
      </c>
      <c r="E17" s="30">
        <f>E14-E16</f>
        <v>114027.98170000003</v>
      </c>
    </row>
    <row r="18" spans="1:5" x14ac:dyDescent="0.25">
      <c r="A18" s="106"/>
      <c r="B18" s="23" t="s">
        <v>6</v>
      </c>
      <c r="C18" s="29">
        <v>23101.78</v>
      </c>
      <c r="D18" s="29">
        <v>27348.14</v>
      </c>
      <c r="E18" s="31">
        <v>28859.51</v>
      </c>
    </row>
    <row r="19" spans="1:5" x14ac:dyDescent="0.25">
      <c r="A19" s="106"/>
      <c r="B19" s="25" t="s">
        <v>7</v>
      </c>
      <c r="C19" s="30">
        <f t="shared" ref="C19:D19" si="4">C17-C18</f>
        <v>68138.257599999997</v>
      </c>
      <c r="D19" s="30">
        <f t="shared" si="4"/>
        <v>79017.153500000015</v>
      </c>
      <c r="E19" s="30">
        <f>E17-E18</f>
        <v>85168.471700000038</v>
      </c>
    </row>
    <row r="20" spans="1:5" x14ac:dyDescent="0.25">
      <c r="A20" s="106"/>
      <c r="B20" s="23" t="s">
        <v>12</v>
      </c>
      <c r="C20" s="23">
        <v>1405.1542999999999</v>
      </c>
      <c r="D20" s="29">
        <v>1505.4709</v>
      </c>
      <c r="E20" s="29">
        <v>1497.1990000000001</v>
      </c>
    </row>
    <row r="21" spans="1:5" x14ac:dyDescent="0.25">
      <c r="A21" s="106"/>
      <c r="B21" s="23" t="s">
        <v>13</v>
      </c>
      <c r="C21" s="23">
        <v>2458.7491</v>
      </c>
      <c r="D21" s="29">
        <v>2961.2882</v>
      </c>
      <c r="E21" s="29">
        <v>3366.8852000000002</v>
      </c>
    </row>
    <row r="22" spans="1:5" x14ac:dyDescent="0.25">
      <c r="A22" s="106"/>
      <c r="B22" s="25" t="s">
        <v>14</v>
      </c>
      <c r="C22" s="30">
        <f t="shared" ref="C22:D22" si="5">C19+C20-C21</f>
        <v>67084.662799999991</v>
      </c>
      <c r="D22" s="30">
        <f t="shared" si="5"/>
        <v>77561.33620000002</v>
      </c>
      <c r="E22" s="30">
        <f>E19+E20-E21</f>
        <v>83298.785500000027</v>
      </c>
    </row>
    <row r="23" spans="1:5" x14ac:dyDescent="0.25">
      <c r="A23" s="106"/>
      <c r="B23" s="23"/>
      <c r="C23" s="23"/>
      <c r="D23" s="23"/>
      <c r="E23" s="23"/>
    </row>
    <row r="24" spans="1:5" x14ac:dyDescent="0.25">
      <c r="A24" s="106"/>
      <c r="B24" s="25" t="s">
        <v>15</v>
      </c>
      <c r="C24" s="30">
        <f>(C22)/C25</f>
        <v>75.168156661723586</v>
      </c>
      <c r="D24" s="30">
        <f t="shared" ref="D24:E24" si="6">(D22)/D25</f>
        <v>86.907185958192244</v>
      </c>
      <c r="E24" s="30">
        <f t="shared" si="6"/>
        <v>91.160855024312795</v>
      </c>
    </row>
    <row r="25" spans="1:5" x14ac:dyDescent="0.25">
      <c r="A25" s="106"/>
      <c r="B25" s="23" t="s">
        <v>16</v>
      </c>
      <c r="C25" s="31">
        <v>892.46119339999996</v>
      </c>
      <c r="D25" s="31">
        <v>892.46171470000002</v>
      </c>
      <c r="E25" s="31">
        <v>913.75607960000002</v>
      </c>
    </row>
    <row r="26" spans="1:5" x14ac:dyDescent="0.25">
      <c r="A26" s="106"/>
      <c r="B26" s="25" t="s">
        <v>17</v>
      </c>
      <c r="C26" s="30">
        <f>(C22)/C27</f>
        <v>75.168156661723586</v>
      </c>
      <c r="D26" s="30">
        <f t="shared" ref="D26:E26" si="7">(D22)/D27</f>
        <v>86.907185958192244</v>
      </c>
      <c r="E26" s="30">
        <f t="shared" si="7"/>
        <v>91.160855024312795</v>
      </c>
    </row>
    <row r="27" spans="1:5" x14ac:dyDescent="0.25">
      <c r="A27" s="106"/>
      <c r="B27" s="23" t="s">
        <v>18</v>
      </c>
      <c r="C27" s="31">
        <v>892.46119339999996</v>
      </c>
      <c r="D27" s="31">
        <v>892.46171470000002</v>
      </c>
      <c r="E27" s="31">
        <v>913.75607960000002</v>
      </c>
    </row>
  </sheetData>
  <mergeCells count="4">
    <mergeCell ref="A1:A27"/>
    <mergeCell ref="B1:E2"/>
    <mergeCell ref="B3:E3"/>
    <mergeCell ref="B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7A5B-86A1-4751-BDA5-4A7C917E7018}">
  <dimension ref="A1:E3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32" sqref="C32"/>
    </sheetView>
  </sheetViews>
  <sheetFormatPr defaultRowHeight="15" x14ac:dyDescent="0.25"/>
  <cols>
    <col min="1" max="1" width="2.28515625" customWidth="1"/>
    <col min="2" max="2" width="49.42578125" bestFit="1" customWidth="1"/>
    <col min="3" max="5" width="17.140625" customWidth="1"/>
    <col min="12" max="12" width="9.140625" customWidth="1"/>
  </cols>
  <sheetData>
    <row r="1" spans="1:5" ht="15" customHeight="1" x14ac:dyDescent="0.25">
      <c r="A1" s="106"/>
      <c r="B1" s="107" t="s">
        <v>20</v>
      </c>
      <c r="C1" s="107"/>
      <c r="D1" s="107"/>
      <c r="E1" s="107"/>
    </row>
    <row r="2" spans="1:5" ht="15" customHeight="1" x14ac:dyDescent="0.25">
      <c r="A2" s="106"/>
      <c r="B2" s="107"/>
      <c r="C2" s="107"/>
      <c r="D2" s="107"/>
      <c r="E2" s="107"/>
    </row>
    <row r="3" spans="1:5" ht="15.75" customHeight="1" x14ac:dyDescent="0.25">
      <c r="A3" s="106"/>
      <c r="B3" s="108" t="s">
        <v>38</v>
      </c>
      <c r="C3" s="108"/>
      <c r="D3" s="108"/>
      <c r="E3" s="108"/>
    </row>
    <row r="4" spans="1:5" ht="15" customHeight="1" x14ac:dyDescent="0.25">
      <c r="A4" s="106"/>
      <c r="B4" s="109" t="s">
        <v>19</v>
      </c>
      <c r="C4" s="109"/>
      <c r="D4" s="109"/>
      <c r="E4" s="109"/>
    </row>
    <row r="5" spans="1:5" x14ac:dyDescent="0.25">
      <c r="A5" s="106"/>
      <c r="B5" s="3" t="s">
        <v>0</v>
      </c>
      <c r="C5" s="3">
        <v>2024</v>
      </c>
      <c r="D5" s="3">
        <v>2025</v>
      </c>
      <c r="E5" s="3">
        <v>2026</v>
      </c>
    </row>
    <row r="6" spans="1:5" x14ac:dyDescent="0.25">
      <c r="A6" s="106"/>
    </row>
    <row r="7" spans="1:5" x14ac:dyDescent="0.25">
      <c r="A7" s="106"/>
      <c r="B7" s="27" t="s">
        <v>22</v>
      </c>
      <c r="C7" s="28"/>
      <c r="D7" s="28"/>
      <c r="E7" s="28"/>
    </row>
    <row r="8" spans="1:5" x14ac:dyDescent="0.25">
      <c r="A8" s="106"/>
      <c r="B8" s="23" t="s">
        <v>23</v>
      </c>
      <c r="C8" s="23">
        <v>892.46119999999996</v>
      </c>
      <c r="D8" s="29">
        <v>892.46199999999999</v>
      </c>
      <c r="E8" s="29">
        <v>923.06179999999995</v>
      </c>
    </row>
    <row r="9" spans="1:5" x14ac:dyDescent="0.25">
      <c r="A9" s="106"/>
      <c r="B9" s="29" t="s">
        <v>24</v>
      </c>
      <c r="C9" s="23">
        <v>414046.71029999998</v>
      </c>
      <c r="D9" s="29">
        <v>486144.29670000001</v>
      </c>
      <c r="E9" s="29">
        <v>595207.80759999994</v>
      </c>
    </row>
    <row r="10" spans="1:5" x14ac:dyDescent="0.25">
      <c r="A10" s="106"/>
      <c r="B10" s="23" t="s">
        <v>37</v>
      </c>
      <c r="C10" s="23">
        <v>15617.9624</v>
      </c>
      <c r="D10" s="29">
        <v>18025.838800000001</v>
      </c>
      <c r="E10" s="29">
        <v>18768.282299999999</v>
      </c>
    </row>
    <row r="11" spans="1:5" x14ac:dyDescent="0.25">
      <c r="A11" s="106"/>
      <c r="B11" s="29"/>
      <c r="C11" s="29"/>
      <c r="D11" s="29"/>
      <c r="E11" s="29"/>
    </row>
    <row r="12" spans="1:5" x14ac:dyDescent="0.25">
      <c r="A12" s="106"/>
      <c r="B12" s="23" t="s">
        <v>25</v>
      </c>
      <c r="C12" s="23">
        <v>4966537.4872000003</v>
      </c>
      <c r="D12" s="29">
        <v>5439898.0190000003</v>
      </c>
      <c r="E12" s="29">
        <v>6043097.1228</v>
      </c>
    </row>
    <row r="13" spans="1:5" x14ac:dyDescent="0.25">
      <c r="A13" s="106"/>
      <c r="B13" s="29" t="s">
        <v>26</v>
      </c>
      <c r="C13" s="23">
        <v>639609.50289999996</v>
      </c>
      <c r="D13" s="29">
        <v>610857.245</v>
      </c>
      <c r="E13" s="29">
        <v>777302.14500000002</v>
      </c>
    </row>
    <row r="14" spans="1:5" x14ac:dyDescent="0.25">
      <c r="A14" s="106"/>
      <c r="B14" s="29" t="s">
        <v>27</v>
      </c>
      <c r="C14" s="23">
        <v>697074.67570000002</v>
      </c>
      <c r="D14" s="29">
        <v>758367.47919999994</v>
      </c>
      <c r="E14" s="29">
        <v>886270.15469999996</v>
      </c>
    </row>
    <row r="15" spans="1:5" x14ac:dyDescent="0.25">
      <c r="A15" s="106"/>
      <c r="B15" s="30" t="s">
        <v>28</v>
      </c>
      <c r="C15" s="30">
        <f t="shared" ref="C15:D15" si="0">SUM(C8:C14)</f>
        <v>6733778.7996999994</v>
      </c>
      <c r="D15" s="30">
        <f t="shared" si="0"/>
        <v>7314185.3407000005</v>
      </c>
      <c r="E15" s="30">
        <f>SUM(E8:E14)</f>
        <v>8321568.5742000006</v>
      </c>
    </row>
    <row r="16" spans="1:5" x14ac:dyDescent="0.25">
      <c r="A16" s="106"/>
      <c r="B16" s="23"/>
      <c r="C16" s="29"/>
      <c r="D16" s="29"/>
      <c r="E16" s="29"/>
    </row>
    <row r="17" spans="1:5" x14ac:dyDescent="0.25">
      <c r="A17" s="106"/>
      <c r="B17" s="28" t="s">
        <v>29</v>
      </c>
      <c r="C17" s="28"/>
      <c r="D17" s="28"/>
      <c r="E17" s="28"/>
    </row>
    <row r="18" spans="1:5" x14ac:dyDescent="0.25">
      <c r="A18" s="106"/>
      <c r="B18" s="29" t="s">
        <v>30</v>
      </c>
      <c r="C18" s="23">
        <v>225356.33609999999</v>
      </c>
      <c r="D18" s="29">
        <v>227485.1569</v>
      </c>
      <c r="E18" s="29">
        <v>268681.73680000001</v>
      </c>
    </row>
    <row r="19" spans="1:5" x14ac:dyDescent="0.25">
      <c r="A19" s="106"/>
      <c r="B19" s="23" t="s">
        <v>31</v>
      </c>
      <c r="C19" s="23">
        <v>101215.96739999999</v>
      </c>
      <c r="D19" s="29">
        <v>130447.7859</v>
      </c>
      <c r="E19" s="29">
        <v>133161.47260000001</v>
      </c>
    </row>
    <row r="20" spans="1:5" x14ac:dyDescent="0.25">
      <c r="A20" s="106"/>
      <c r="B20" s="29" t="s">
        <v>32</v>
      </c>
      <c r="C20" s="23">
        <v>2110548.2259</v>
      </c>
      <c r="D20" s="29">
        <v>2205601.1083</v>
      </c>
      <c r="E20" s="29">
        <v>2359502.1713</v>
      </c>
    </row>
    <row r="21" spans="1:5" x14ac:dyDescent="0.25">
      <c r="A21" s="106"/>
      <c r="B21" s="29" t="s">
        <v>33</v>
      </c>
      <c r="C21" s="23">
        <v>3784272.6705</v>
      </c>
      <c r="D21" s="29">
        <v>4250830.7363999998</v>
      </c>
      <c r="E21" s="29">
        <v>4978013.2067999998</v>
      </c>
    </row>
    <row r="22" spans="1:5" x14ac:dyDescent="0.25">
      <c r="A22" s="106"/>
      <c r="B22" s="29" t="s">
        <v>34</v>
      </c>
      <c r="C22" s="23">
        <v>44708.177300000003</v>
      </c>
      <c r="D22" s="29">
        <v>46337.695399999997</v>
      </c>
      <c r="E22" s="29">
        <v>57152.101300000002</v>
      </c>
    </row>
    <row r="23" spans="1:5" x14ac:dyDescent="0.25">
      <c r="A23" s="106"/>
      <c r="B23" s="29" t="s">
        <v>35</v>
      </c>
      <c r="C23" s="23">
        <v>467677.42249999999</v>
      </c>
      <c r="D23" s="29">
        <v>453482.8579</v>
      </c>
      <c r="E23" s="29">
        <v>525057.88540000003</v>
      </c>
    </row>
    <row r="24" spans="1:5" x14ac:dyDescent="0.25">
      <c r="A24" s="106"/>
      <c r="B24" s="30" t="s">
        <v>36</v>
      </c>
      <c r="C24" s="30">
        <f t="shared" ref="C24:D24" si="1">SUM(C17:C23)</f>
        <v>6733778.7996999994</v>
      </c>
      <c r="D24" s="30">
        <f t="shared" si="1"/>
        <v>7314185.3407999994</v>
      </c>
      <c r="E24" s="30">
        <f>SUM(E17:E23)</f>
        <v>8321568.5742000006</v>
      </c>
    </row>
    <row r="25" spans="1:5" x14ac:dyDescent="0.25">
      <c r="A25" s="106"/>
      <c r="C25" s="1"/>
      <c r="D25" s="1"/>
      <c r="E25" s="1"/>
    </row>
    <row r="26" spans="1:5" x14ac:dyDescent="0.25">
      <c r="A26" s="106"/>
      <c r="B26" s="29" t="s">
        <v>259</v>
      </c>
      <c r="C26" s="29">
        <v>333705.96000000002</v>
      </c>
      <c r="D26" s="29">
        <v>394378.8</v>
      </c>
      <c r="E26" s="29">
        <v>486848.03</v>
      </c>
    </row>
    <row r="27" spans="1:5" x14ac:dyDescent="0.25">
      <c r="A27" s="106"/>
      <c r="B27" s="29" t="s">
        <v>256</v>
      </c>
      <c r="C27" s="29">
        <v>384177.36</v>
      </c>
      <c r="D27" s="29">
        <v>441970.13</v>
      </c>
      <c r="E27" s="29">
        <v>527992.31000000006</v>
      </c>
    </row>
    <row r="28" spans="1:5" x14ac:dyDescent="0.25">
      <c r="B28" s="29" t="s">
        <v>257</v>
      </c>
      <c r="C28" s="29">
        <v>75846.02</v>
      </c>
      <c r="D28" s="29">
        <v>78091.97</v>
      </c>
      <c r="E28" s="29">
        <v>82087.77</v>
      </c>
    </row>
    <row r="29" spans="1:5" x14ac:dyDescent="0.25">
      <c r="B29" s="29" t="s">
        <v>260</v>
      </c>
      <c r="C29" s="29">
        <f t="shared" ref="C29:D29" si="2">C27+C28</f>
        <v>460023.38</v>
      </c>
      <c r="D29" s="29">
        <f t="shared" si="2"/>
        <v>520062.1</v>
      </c>
      <c r="E29" s="29">
        <f>E27+E28</f>
        <v>610080.08000000007</v>
      </c>
    </row>
    <row r="30" spans="1:5" x14ac:dyDescent="0.25">
      <c r="B30" s="29" t="s">
        <v>258</v>
      </c>
      <c r="C30" s="29">
        <v>3222358.28</v>
      </c>
      <c r="D30" s="29">
        <v>3649286.55</v>
      </c>
      <c r="E30" s="29">
        <v>3962184.62</v>
      </c>
    </row>
    <row r="32" spans="1:5" x14ac:dyDescent="0.25">
      <c r="B32" s="29" t="s">
        <v>269</v>
      </c>
      <c r="C32" s="55">
        <v>232296</v>
      </c>
      <c r="D32" s="55">
        <v>236226</v>
      </c>
      <c r="E32" s="55">
        <v>245131</v>
      </c>
    </row>
    <row r="33" spans="2:2" x14ac:dyDescent="0.25">
      <c r="B33" s="29"/>
    </row>
    <row r="34" spans="2:2" x14ac:dyDescent="0.25">
      <c r="B34" s="29"/>
    </row>
  </sheetData>
  <mergeCells count="4">
    <mergeCell ref="A1:A27"/>
    <mergeCell ref="B1:E2"/>
    <mergeCell ref="B3:E3"/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0BEC-9633-4482-8121-ADE5736532B9}">
  <dimension ref="A1:G32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7" sqref="B7:D32"/>
    </sheetView>
  </sheetViews>
  <sheetFormatPr defaultRowHeight="15" x14ac:dyDescent="0.25"/>
  <cols>
    <col min="1" max="1" width="2.28515625" customWidth="1"/>
    <col min="2" max="2" width="92" bestFit="1" customWidth="1"/>
    <col min="3" max="5" width="17.140625" customWidth="1"/>
    <col min="7" max="7" width="12.28515625" bestFit="1" customWidth="1"/>
    <col min="12" max="12" width="9.140625" customWidth="1"/>
  </cols>
  <sheetData>
    <row r="1" spans="1:7" ht="15" customHeight="1" x14ac:dyDescent="0.25">
      <c r="A1" s="106"/>
      <c r="B1" s="107" t="s">
        <v>20</v>
      </c>
      <c r="C1" s="107"/>
      <c r="D1" s="107"/>
      <c r="E1" s="107"/>
    </row>
    <row r="2" spans="1:7" ht="15" customHeight="1" x14ac:dyDescent="0.25">
      <c r="A2" s="106"/>
      <c r="B2" s="107"/>
      <c r="C2" s="107"/>
      <c r="D2" s="107"/>
      <c r="E2" s="107"/>
    </row>
    <row r="3" spans="1:7" ht="15.75" customHeight="1" x14ac:dyDescent="0.25">
      <c r="A3" s="106"/>
      <c r="B3" s="108" t="s">
        <v>40</v>
      </c>
      <c r="C3" s="108"/>
      <c r="D3" s="108"/>
      <c r="E3" s="108"/>
    </row>
    <row r="4" spans="1:7" ht="15" customHeight="1" x14ac:dyDescent="0.25">
      <c r="A4" s="106"/>
      <c r="B4" s="109" t="s">
        <v>19</v>
      </c>
      <c r="C4" s="109"/>
      <c r="D4" s="109"/>
      <c r="E4" s="109"/>
    </row>
    <row r="5" spans="1:7" x14ac:dyDescent="0.25">
      <c r="A5" s="106"/>
      <c r="B5" s="3" t="s">
        <v>0</v>
      </c>
      <c r="C5" s="3">
        <v>2024</v>
      </c>
      <c r="D5" s="3">
        <v>2025</v>
      </c>
      <c r="E5" s="3">
        <v>2026</v>
      </c>
    </row>
    <row r="6" spans="1:7" x14ac:dyDescent="0.25">
      <c r="A6" s="106"/>
    </row>
    <row r="7" spans="1:7" x14ac:dyDescent="0.25">
      <c r="A7" s="106"/>
      <c r="B7" s="32" t="s">
        <v>41</v>
      </c>
      <c r="C7" s="23"/>
      <c r="D7" s="23"/>
      <c r="E7" s="23"/>
    </row>
    <row r="8" spans="1:7" x14ac:dyDescent="0.25">
      <c r="A8" s="106"/>
      <c r="B8" s="25" t="s">
        <v>61</v>
      </c>
      <c r="C8" s="30">
        <f>'SBI IS'!C17+'SBI IS'!C20-'SBI IS'!C21</f>
        <v>90186.44279999999</v>
      </c>
      <c r="D8" s="30">
        <f>'SBI IS'!D17+'SBI IS'!D20-'SBI IS'!D21</f>
        <v>104909.47620000002</v>
      </c>
      <c r="E8" s="30">
        <f>'SBI IS'!E17+'SBI IS'!E20-'SBI IS'!E21</f>
        <v>112158.29550000002</v>
      </c>
    </row>
    <row r="9" spans="1:7" x14ac:dyDescent="0.25">
      <c r="A9" s="106"/>
      <c r="B9" s="23" t="s">
        <v>42</v>
      </c>
      <c r="C9" s="29">
        <v>3849.1244999999999</v>
      </c>
      <c r="D9" s="29">
        <v>3991.4767000000002</v>
      </c>
      <c r="E9" s="29">
        <v>4829.7184999999999</v>
      </c>
    </row>
    <row r="10" spans="1:7" x14ac:dyDescent="0.25">
      <c r="A10" s="106"/>
      <c r="B10" s="23" t="s">
        <v>44</v>
      </c>
      <c r="C10" s="29">
        <v>11088.191199999999</v>
      </c>
      <c r="D10" s="29">
        <v>20360.1505</v>
      </c>
      <c r="E10" s="29">
        <v>28893.687300000001</v>
      </c>
    </row>
    <row r="11" spans="1:7" x14ac:dyDescent="0.25">
      <c r="A11" s="106"/>
      <c r="B11" s="23" t="s">
        <v>43</v>
      </c>
      <c r="C11" s="29">
        <v>-31268.268199999999</v>
      </c>
      <c r="D11" s="29">
        <v>-33761.445099999997</v>
      </c>
      <c r="E11" s="29">
        <v>-36322.9663</v>
      </c>
      <c r="G11" s="2"/>
    </row>
    <row r="12" spans="1:7" x14ac:dyDescent="0.25">
      <c r="A12" s="106"/>
      <c r="B12" s="23" t="s">
        <v>45</v>
      </c>
      <c r="C12" s="29">
        <v>-52223.063800000004</v>
      </c>
      <c r="D12" s="29">
        <v>-50015.650300000001</v>
      </c>
      <c r="E12" s="29">
        <v>-71461.346799999999</v>
      </c>
      <c r="G12" s="2"/>
    </row>
    <row r="13" spans="1:7" x14ac:dyDescent="0.25">
      <c r="A13" s="106"/>
      <c r="B13" s="23"/>
      <c r="C13" s="23"/>
      <c r="D13" s="23"/>
      <c r="E13" s="23"/>
    </row>
    <row r="14" spans="1:7" x14ac:dyDescent="0.25">
      <c r="A14" s="106"/>
      <c r="B14" s="25" t="s">
        <v>46</v>
      </c>
      <c r="C14" s="30">
        <f t="shared" ref="C14:D14" si="0">C8+C9+C1+C10+C11+C12</f>
        <v>21632.426500000001</v>
      </c>
      <c r="D14" s="30">
        <f t="shared" si="0"/>
        <v>45484.008000000023</v>
      </c>
      <c r="E14" s="30">
        <f>E8+E9+E1+E10+E11+E12</f>
        <v>38097.388200000016</v>
      </c>
    </row>
    <row r="15" spans="1:7" x14ac:dyDescent="0.25">
      <c r="A15" s="106"/>
      <c r="B15" s="23"/>
      <c r="C15" s="23"/>
      <c r="D15" s="23"/>
      <c r="E15" s="23"/>
    </row>
    <row r="16" spans="1:7" x14ac:dyDescent="0.25">
      <c r="A16" s="106"/>
      <c r="B16" s="32" t="s">
        <v>47</v>
      </c>
      <c r="C16" s="23"/>
      <c r="D16" s="23"/>
      <c r="E16" s="23"/>
    </row>
    <row r="17" spans="1:5" x14ac:dyDescent="0.25">
      <c r="A17" s="106"/>
      <c r="B17" s="23" t="s">
        <v>49</v>
      </c>
      <c r="C17" s="29">
        <v>-82.161000000000001</v>
      </c>
      <c r="D17" s="33" t="s">
        <v>62</v>
      </c>
      <c r="E17" s="29">
        <v>-108.2683</v>
      </c>
    </row>
    <row r="18" spans="1:5" x14ac:dyDescent="0.25">
      <c r="A18" s="106"/>
      <c r="B18" s="23" t="s">
        <v>48</v>
      </c>
      <c r="C18" s="34" t="s">
        <v>62</v>
      </c>
      <c r="D18" s="29">
        <v>-6.5190000000000001</v>
      </c>
      <c r="E18" s="29">
        <v>7779.4108999999999</v>
      </c>
    </row>
    <row r="19" spans="1:5" x14ac:dyDescent="0.25">
      <c r="A19" s="106"/>
      <c r="B19" s="23" t="s">
        <v>50</v>
      </c>
      <c r="C19" s="29">
        <v>-4175.1261999999997</v>
      </c>
      <c r="D19" s="29">
        <v>-5637.2241000000004</v>
      </c>
      <c r="E19" s="29">
        <v>-8362.9581999999991</v>
      </c>
    </row>
    <row r="20" spans="1:5" x14ac:dyDescent="0.25">
      <c r="A20" s="106"/>
      <c r="B20" s="23" t="s">
        <v>51</v>
      </c>
      <c r="C20" s="29">
        <v>5.5719000000000003</v>
      </c>
      <c r="D20" s="29">
        <v>9.0008999999999997</v>
      </c>
      <c r="E20" s="29">
        <v>0.92989999999999995</v>
      </c>
    </row>
    <row r="21" spans="1:5" x14ac:dyDescent="0.25">
      <c r="A21" s="106"/>
      <c r="B21" s="25" t="s">
        <v>52</v>
      </c>
      <c r="C21" s="30">
        <f>SUM(C17:C20)</f>
        <v>-4251.7152999999998</v>
      </c>
      <c r="D21" s="30">
        <f t="shared" ref="D21:E21" si="1">SUM(D17:D20)</f>
        <v>-5634.7422000000006</v>
      </c>
      <c r="E21" s="30">
        <f t="shared" si="1"/>
        <v>-690.88569999999902</v>
      </c>
    </row>
    <row r="22" spans="1:5" x14ac:dyDescent="0.25">
      <c r="A22" s="106"/>
      <c r="B22" s="23"/>
      <c r="C22" s="23"/>
      <c r="D22" s="23"/>
      <c r="E22" s="23"/>
    </row>
    <row r="23" spans="1:5" x14ac:dyDescent="0.25">
      <c r="A23" s="106"/>
      <c r="B23" s="32" t="s">
        <v>53</v>
      </c>
      <c r="C23" s="23"/>
      <c r="D23" s="23"/>
      <c r="E23" s="23"/>
    </row>
    <row r="24" spans="1:5" x14ac:dyDescent="0.25">
      <c r="A24" s="106"/>
      <c r="B24" s="23" t="s">
        <v>54</v>
      </c>
      <c r="C24" s="29">
        <v>-10084.8115</v>
      </c>
      <c r="D24" s="29">
        <v>-12226.7183</v>
      </c>
      <c r="E24" s="29">
        <v>-14190.1459</v>
      </c>
    </row>
    <row r="25" spans="1:5" x14ac:dyDescent="0.25">
      <c r="A25" s="106"/>
      <c r="B25" s="29" t="s">
        <v>55</v>
      </c>
      <c r="C25" s="29">
        <v>188.53</v>
      </c>
      <c r="D25" s="29">
        <v>1489.9242999999999</v>
      </c>
      <c r="E25" s="29">
        <v>10763.0085</v>
      </c>
    </row>
    <row r="26" spans="1:5" x14ac:dyDescent="0.25">
      <c r="A26" s="106"/>
      <c r="B26" s="25" t="s">
        <v>56</v>
      </c>
      <c r="C26" s="35">
        <f t="shared" ref="C26:D26" si="2">SUM(C24:C25)</f>
        <v>-9896.2814999999991</v>
      </c>
      <c r="D26" s="35">
        <f t="shared" si="2"/>
        <v>-10736.794</v>
      </c>
      <c r="E26" s="35">
        <f>SUM(E24:E25)</f>
        <v>-3427.1373999999996</v>
      </c>
    </row>
    <row r="27" spans="1:5" x14ac:dyDescent="0.25">
      <c r="B27" s="23"/>
      <c r="C27" s="23"/>
      <c r="D27" s="23"/>
      <c r="E27" s="23"/>
    </row>
    <row r="28" spans="1:5" x14ac:dyDescent="0.25">
      <c r="B28" s="23" t="s">
        <v>58</v>
      </c>
      <c r="C28" s="29">
        <v>775.95809999999994</v>
      </c>
      <c r="D28" s="29">
        <v>2248.1669000000002</v>
      </c>
      <c r="E28" s="29">
        <v>9930.8996999999999</v>
      </c>
    </row>
    <row r="29" spans="1:5" x14ac:dyDescent="0.25">
      <c r="B29" s="25" t="s">
        <v>57</v>
      </c>
      <c r="C29" s="35">
        <f t="shared" ref="C29:D29" si="3">C14+C21+C26+C28</f>
        <v>8260.3878000000022</v>
      </c>
      <c r="D29" s="35">
        <f t="shared" si="3"/>
        <v>31360.638700000021</v>
      </c>
      <c r="E29" s="35">
        <f>E14+E21+E26+E28</f>
        <v>43910.264800000019</v>
      </c>
    </row>
    <row r="30" spans="1:5" x14ac:dyDescent="0.25">
      <c r="B30" s="23"/>
      <c r="C30" s="23"/>
      <c r="D30" s="23"/>
      <c r="E30" s="23"/>
    </row>
    <row r="31" spans="1:5" x14ac:dyDescent="0.25">
      <c r="B31" s="27" t="s">
        <v>59</v>
      </c>
      <c r="C31" s="28">
        <v>318311.90970000002</v>
      </c>
      <c r="D31" s="28">
        <f>'SBI BS'!C18+'SBI BS'!C19</f>
        <v>326572.30349999998</v>
      </c>
      <c r="E31" s="28">
        <f>'SBI BS'!D18+'SBI BS'!D19</f>
        <v>357932.94280000002</v>
      </c>
    </row>
    <row r="32" spans="1:5" x14ac:dyDescent="0.25">
      <c r="B32" s="27" t="s">
        <v>60</v>
      </c>
      <c r="C32" s="36">
        <f>C29+C31</f>
        <v>326572.29750000004</v>
      </c>
      <c r="D32" s="36">
        <f>D31+D29</f>
        <v>357932.94219999999</v>
      </c>
      <c r="E32" s="36">
        <f>E31+E29</f>
        <v>401843.20760000002</v>
      </c>
    </row>
  </sheetData>
  <mergeCells count="4">
    <mergeCell ref="A1:A26"/>
    <mergeCell ref="B1:E2"/>
    <mergeCell ref="B3:E3"/>
    <mergeCell ref="B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690A-1B10-40F6-9001-2F0E09E39162}">
  <dimension ref="B1:H39"/>
  <sheetViews>
    <sheetView topLeftCell="A16" workbookViewId="0">
      <selection activeCell="C39" sqref="C39"/>
    </sheetView>
  </sheetViews>
  <sheetFormatPr defaultRowHeight="15" x14ac:dyDescent="0.25"/>
  <cols>
    <col min="1" max="1" width="1.85546875" customWidth="1"/>
    <col min="2" max="2" width="34.85546875" bestFit="1" customWidth="1"/>
    <col min="3" max="7" width="17.140625" customWidth="1"/>
    <col min="8" max="8" width="17.28515625" customWidth="1"/>
  </cols>
  <sheetData>
    <row r="1" spans="2:8" ht="15" customHeight="1" x14ac:dyDescent="0.25">
      <c r="B1" s="103" t="s">
        <v>20</v>
      </c>
      <c r="C1" s="103"/>
      <c r="D1" s="103"/>
      <c r="E1" s="103"/>
      <c r="F1" s="103"/>
      <c r="G1" s="103"/>
      <c r="H1" s="103"/>
    </row>
    <row r="2" spans="2:8" ht="15" customHeight="1" x14ac:dyDescent="0.25">
      <c r="B2" s="103"/>
      <c r="C2" s="103"/>
      <c r="D2" s="103"/>
      <c r="E2" s="103"/>
      <c r="F2" s="103"/>
      <c r="G2" s="103"/>
      <c r="H2" s="103"/>
    </row>
    <row r="3" spans="2:8" ht="15.75" x14ac:dyDescent="0.25">
      <c r="B3" s="104" t="s">
        <v>39</v>
      </c>
      <c r="C3" s="104"/>
      <c r="D3" s="104"/>
      <c r="E3" s="104"/>
      <c r="F3" s="104"/>
      <c r="G3" s="104"/>
      <c r="H3" s="104"/>
    </row>
    <row r="4" spans="2:8" x14ac:dyDescent="0.25">
      <c r="B4" s="110" t="s">
        <v>19</v>
      </c>
      <c r="C4" s="110"/>
      <c r="D4" s="110"/>
      <c r="E4" s="110"/>
      <c r="F4" s="110"/>
      <c r="G4" s="110"/>
      <c r="H4" s="110"/>
    </row>
    <row r="5" spans="2:8" x14ac:dyDescent="0.25">
      <c r="B5" s="5" t="s">
        <v>0</v>
      </c>
      <c r="C5" s="5">
        <v>2024</v>
      </c>
      <c r="D5" s="5">
        <v>2025</v>
      </c>
      <c r="E5" s="5">
        <v>2026</v>
      </c>
      <c r="F5" s="5">
        <v>2027</v>
      </c>
      <c r="G5" s="5">
        <v>2028</v>
      </c>
      <c r="H5" s="5">
        <v>2029</v>
      </c>
    </row>
    <row r="7" spans="2:8" x14ac:dyDescent="0.25">
      <c r="B7" s="23" t="s">
        <v>1</v>
      </c>
      <c r="C7" s="37">
        <v>439188.5123</v>
      </c>
      <c r="D7" s="37">
        <v>490312.69890000002</v>
      </c>
      <c r="E7" s="37">
        <v>514932.59039999999</v>
      </c>
      <c r="F7" s="37">
        <f>E7*(1+$C$31)</f>
        <v>557831.2775580124</v>
      </c>
      <c r="G7" s="37">
        <f>F7*(1+$C$31)</f>
        <v>604303.82543913706</v>
      </c>
      <c r="H7" s="37">
        <f>G7*(1+$C$31)</f>
        <v>654647.9699722419</v>
      </c>
    </row>
    <row r="8" spans="2:8" x14ac:dyDescent="0.25">
      <c r="B8" s="23" t="s">
        <v>3</v>
      </c>
      <c r="C8" s="37">
        <v>259736.04810000001</v>
      </c>
      <c r="D8" s="37">
        <v>300943.33529999998</v>
      </c>
      <c r="E8" s="37">
        <v>315004.80839999998</v>
      </c>
      <c r="F8" s="37">
        <f>E8*(1+$C$32)</f>
        <v>347351.90905097313</v>
      </c>
      <c r="G8" s="37">
        <f>F8*(1+$C$32)</f>
        <v>383020.65715818299</v>
      </c>
      <c r="H8" s="37">
        <f>G8*(1+$C$32)</f>
        <v>422352.14486285648</v>
      </c>
    </row>
    <row r="9" spans="2:8" x14ac:dyDescent="0.25">
      <c r="B9" s="38" t="s">
        <v>9</v>
      </c>
      <c r="C9" s="39">
        <f t="shared" ref="C9:H9" si="0">C7-C8</f>
        <v>179452.46419999999</v>
      </c>
      <c r="D9" s="39">
        <f t="shared" si="0"/>
        <v>189369.36360000004</v>
      </c>
      <c r="E9" s="39">
        <f t="shared" si="0"/>
        <v>199927.78200000001</v>
      </c>
      <c r="F9" s="39">
        <f t="shared" si="0"/>
        <v>210479.36850703927</v>
      </c>
      <c r="G9" s="39">
        <f t="shared" si="0"/>
        <v>221283.16828095407</v>
      </c>
      <c r="H9" s="39">
        <f t="shared" si="0"/>
        <v>232295.82510938542</v>
      </c>
    </row>
    <row r="10" spans="2:8" x14ac:dyDescent="0.25">
      <c r="B10" s="23" t="s">
        <v>2</v>
      </c>
      <c r="C10" s="37">
        <v>155386.3922</v>
      </c>
      <c r="D10" s="37">
        <v>173030.61850000001</v>
      </c>
      <c r="E10" s="37">
        <v>197710.9381</v>
      </c>
      <c r="F10" s="37">
        <f>E10*(1+$C$33)</f>
        <v>223036.3465966662</v>
      </c>
      <c r="G10" s="37">
        <f>F10*(1+$C$33)</f>
        <v>251605.76537261505</v>
      </c>
      <c r="H10" s="37">
        <f>G10*(1+$C$33)</f>
        <v>283834.72978608077</v>
      </c>
    </row>
    <row r="11" spans="2:8" x14ac:dyDescent="0.25">
      <c r="B11" s="38" t="s">
        <v>8</v>
      </c>
      <c r="C11" s="39">
        <f t="shared" ref="C11:H11" si="1">C9+C10</f>
        <v>334838.85639999999</v>
      </c>
      <c r="D11" s="39">
        <f t="shared" si="1"/>
        <v>362399.98210000002</v>
      </c>
      <c r="E11" s="39">
        <f t="shared" si="1"/>
        <v>397638.72010000004</v>
      </c>
      <c r="F11" s="39">
        <f t="shared" si="1"/>
        <v>433515.71510370547</v>
      </c>
      <c r="G11" s="39">
        <f t="shared" si="1"/>
        <v>472888.93365356908</v>
      </c>
      <c r="H11" s="39">
        <f t="shared" si="1"/>
        <v>516130.55489546619</v>
      </c>
    </row>
    <row r="12" spans="2:8" x14ac:dyDescent="0.25">
      <c r="B12" s="23"/>
      <c r="C12" s="23"/>
      <c r="D12" s="23"/>
      <c r="E12" s="23"/>
      <c r="F12" s="23"/>
      <c r="G12" s="23"/>
      <c r="H12" s="23"/>
    </row>
    <row r="13" spans="2:8" x14ac:dyDescent="0.25">
      <c r="B13" s="23" t="s">
        <v>4</v>
      </c>
      <c r="C13" s="23">
        <v>235893.8388</v>
      </c>
      <c r="D13" s="37">
        <v>236573.51860000001</v>
      </c>
      <c r="E13" s="37">
        <v>262650.44839999999</v>
      </c>
      <c r="F13" s="37">
        <f>E13*(1+$C$34)</f>
        <v>277504.49866384832</v>
      </c>
      <c r="G13" s="37">
        <f>F13*(1+$C$34)</f>
        <v>293198.61149216222</v>
      </c>
      <c r="H13" s="37">
        <f>G13*(1+$C$34)</f>
        <v>309780.29615680233</v>
      </c>
    </row>
    <row r="14" spans="2:8" x14ac:dyDescent="0.25">
      <c r="B14" s="38" t="s">
        <v>10</v>
      </c>
      <c r="C14" s="39">
        <f t="shared" ref="C14:H14" si="2">C11-C13</f>
        <v>98945.017599999992</v>
      </c>
      <c r="D14" s="39">
        <f t="shared" si="2"/>
        <v>125826.46350000001</v>
      </c>
      <c r="E14" s="39">
        <f t="shared" si="2"/>
        <v>134988.27170000004</v>
      </c>
      <c r="F14" s="39">
        <f t="shared" si="2"/>
        <v>156011.21643985715</v>
      </c>
      <c r="G14" s="39">
        <f t="shared" si="2"/>
        <v>179690.32216140686</v>
      </c>
      <c r="H14" s="39">
        <f t="shared" si="2"/>
        <v>206350.25873866386</v>
      </c>
    </row>
    <row r="15" spans="2:8" x14ac:dyDescent="0.25">
      <c r="B15" s="23"/>
      <c r="C15" s="37"/>
      <c r="D15" s="37"/>
      <c r="E15" s="37"/>
      <c r="F15" s="23"/>
      <c r="G15" s="23"/>
      <c r="H15" s="23"/>
    </row>
    <row r="16" spans="2:8" x14ac:dyDescent="0.25">
      <c r="B16" s="23" t="s">
        <v>11</v>
      </c>
      <c r="C16" s="37">
        <v>7704.98</v>
      </c>
      <c r="D16" s="37">
        <v>19461.169999999998</v>
      </c>
      <c r="E16" s="37">
        <v>20960.29</v>
      </c>
      <c r="F16" s="40">
        <f>$C$35*'SBI BS Forecasting'!F21</f>
        <v>20605.677285403734</v>
      </c>
      <c r="G16" s="40">
        <f>$C$35*'SBI BS Forecasting'!G21</f>
        <v>23638.390181814746</v>
      </c>
      <c r="H16" s="40">
        <f>$C$35*'SBI BS Forecasting'!H21</f>
        <v>27117.453245932822</v>
      </c>
    </row>
    <row r="17" spans="2:8" x14ac:dyDescent="0.25">
      <c r="B17" s="38" t="s">
        <v>5</v>
      </c>
      <c r="C17" s="39">
        <f t="shared" ref="C17:H17" si="3">C14-C16</f>
        <v>91240.037599999996</v>
      </c>
      <c r="D17" s="39">
        <f t="shared" si="3"/>
        <v>106365.29350000001</v>
      </c>
      <c r="E17" s="39">
        <f t="shared" si="3"/>
        <v>114027.98170000003</v>
      </c>
      <c r="F17" s="39">
        <f t="shared" si="3"/>
        <v>135405.53915445341</v>
      </c>
      <c r="G17" s="39">
        <f t="shared" si="3"/>
        <v>156051.9319795921</v>
      </c>
      <c r="H17" s="39">
        <f t="shared" si="3"/>
        <v>179232.80549273104</v>
      </c>
    </row>
    <row r="18" spans="2:8" x14ac:dyDescent="0.25">
      <c r="B18" s="23" t="s">
        <v>6</v>
      </c>
      <c r="C18" s="37">
        <v>23101.78</v>
      </c>
      <c r="D18" s="37">
        <v>27348.14</v>
      </c>
      <c r="E18" s="31">
        <v>28859.51</v>
      </c>
      <c r="F18" s="31">
        <f>F17*$C$36</f>
        <v>34456.402400593848</v>
      </c>
      <c r="G18" s="31">
        <f>G17*$C$36</f>
        <v>39710.252603075132</v>
      </c>
      <c r="H18" s="31">
        <f>H17*$C$36</f>
        <v>45609.0475176236</v>
      </c>
    </row>
    <row r="19" spans="2:8" x14ac:dyDescent="0.25">
      <c r="B19" s="38" t="s">
        <v>7</v>
      </c>
      <c r="C19" s="39">
        <f t="shared" ref="C19:H19" si="4">C17-C18</f>
        <v>68138.257599999997</v>
      </c>
      <c r="D19" s="39">
        <f t="shared" si="4"/>
        <v>79017.153500000015</v>
      </c>
      <c r="E19" s="39">
        <f t="shared" si="4"/>
        <v>85168.471700000038</v>
      </c>
      <c r="F19" s="39">
        <f t="shared" si="4"/>
        <v>100949.13675385955</v>
      </c>
      <c r="G19" s="39">
        <f t="shared" si="4"/>
        <v>116341.67937651697</v>
      </c>
      <c r="H19" s="39">
        <f t="shared" si="4"/>
        <v>133623.75797510744</v>
      </c>
    </row>
    <row r="20" spans="2:8" x14ac:dyDescent="0.25">
      <c r="B20" s="23" t="s">
        <v>12</v>
      </c>
      <c r="C20" s="23">
        <v>1405.1542999999999</v>
      </c>
      <c r="D20" s="37">
        <v>1505.4709</v>
      </c>
      <c r="E20" s="37">
        <v>1497.1990000000001</v>
      </c>
      <c r="F20" s="37">
        <f>E20*(1+$C$37)</f>
        <v>1546.5296970786928</v>
      </c>
      <c r="G20" s="37">
        <f>F20*(1+$C$37)</f>
        <v>1597.4857744002722</v>
      </c>
      <c r="H20" s="37">
        <f>G20*(1+$C$37)</f>
        <v>1650.1207860616885</v>
      </c>
    </row>
    <row r="21" spans="2:8" x14ac:dyDescent="0.25">
      <c r="B21" s="23" t="s">
        <v>13</v>
      </c>
      <c r="C21" s="23">
        <v>2458.7491</v>
      </c>
      <c r="D21" s="37">
        <v>2961.2882</v>
      </c>
      <c r="E21" s="37">
        <v>3366.8852000000002</v>
      </c>
      <c r="F21" s="37">
        <f>E21*(1+$C$38)</f>
        <v>3941.5359455230791</v>
      </c>
      <c r="G21" s="37">
        <f>F21*(1+$C$38)</f>
        <v>4614.2665065772107</v>
      </c>
      <c r="H21" s="37">
        <f>G21*(1+$C$38)</f>
        <v>5401.8168774798978</v>
      </c>
    </row>
    <row r="22" spans="2:8" x14ac:dyDescent="0.25">
      <c r="B22" s="38" t="s">
        <v>14</v>
      </c>
      <c r="C22" s="39">
        <f t="shared" ref="C22:H22" si="5">C19+C20-C21</f>
        <v>67084.662799999991</v>
      </c>
      <c r="D22" s="39">
        <f t="shared" si="5"/>
        <v>77561.33620000002</v>
      </c>
      <c r="E22" s="39">
        <f t="shared" si="5"/>
        <v>83298.785500000027</v>
      </c>
      <c r="F22" s="39">
        <f t="shared" si="5"/>
        <v>98554.13050541516</v>
      </c>
      <c r="G22" s="39">
        <f t="shared" si="5"/>
        <v>113324.89864434002</v>
      </c>
      <c r="H22" s="39">
        <f t="shared" si="5"/>
        <v>129872.06188368922</v>
      </c>
    </row>
    <row r="23" spans="2:8" x14ac:dyDescent="0.25">
      <c r="B23" s="23"/>
      <c r="C23" s="23"/>
      <c r="D23" s="23"/>
      <c r="E23" s="23"/>
      <c r="F23" s="23"/>
      <c r="G23" s="23"/>
      <c r="H23" s="23"/>
    </row>
    <row r="24" spans="2:8" x14ac:dyDescent="0.25">
      <c r="B24" s="38" t="s">
        <v>15</v>
      </c>
      <c r="C24" s="39">
        <f t="shared" ref="C24:H24" si="6">(C22)/C25</f>
        <v>75.168156661723586</v>
      </c>
      <c r="D24" s="39">
        <f t="shared" si="6"/>
        <v>86.907185958192244</v>
      </c>
      <c r="E24" s="39">
        <f t="shared" si="6"/>
        <v>91.160855024312795</v>
      </c>
      <c r="F24" s="39">
        <f t="shared" si="6"/>
        <v>106.58446254994315</v>
      </c>
      <c r="G24" s="39">
        <f t="shared" si="6"/>
        <v>121.11383516012776</v>
      </c>
      <c r="H24" s="39">
        <f t="shared" si="6"/>
        <v>137.16190279074797</v>
      </c>
    </row>
    <row r="25" spans="2:8" x14ac:dyDescent="0.25">
      <c r="B25" s="23" t="s">
        <v>16</v>
      </c>
      <c r="C25" s="31">
        <v>892.46119339999996</v>
      </c>
      <c r="D25" s="31">
        <v>892.46171470000002</v>
      </c>
      <c r="E25" s="31">
        <v>913.75607960000002</v>
      </c>
      <c r="F25" s="31">
        <f>E25*(1+$C$39)</f>
        <v>924.65757341727783</v>
      </c>
      <c r="G25" s="31">
        <f>F25*(1+$C$39)</f>
        <v>935.68912663454353</v>
      </c>
      <c r="H25" s="31">
        <f>G25*(1+$C$39)</f>
        <v>946.85229091506551</v>
      </c>
    </row>
    <row r="26" spans="2:8" x14ac:dyDescent="0.25">
      <c r="B26" s="38" t="s">
        <v>17</v>
      </c>
      <c r="C26" s="39">
        <f t="shared" ref="C26:H26" si="7">(C22)/C27</f>
        <v>75.168156661723586</v>
      </c>
      <c r="D26" s="39">
        <f t="shared" si="7"/>
        <v>86.907185958192244</v>
      </c>
      <c r="E26" s="39">
        <f t="shared" si="7"/>
        <v>91.160855024312795</v>
      </c>
      <c r="F26" s="39">
        <f t="shared" si="7"/>
        <v>106.58446254994315</v>
      </c>
      <c r="G26" s="39">
        <f t="shared" si="7"/>
        <v>121.11383516012776</v>
      </c>
      <c r="H26" s="39">
        <f t="shared" si="7"/>
        <v>137.16190279074797</v>
      </c>
    </row>
    <row r="27" spans="2:8" x14ac:dyDescent="0.25">
      <c r="B27" s="23" t="s">
        <v>18</v>
      </c>
      <c r="C27" s="31">
        <v>892.46119339999996</v>
      </c>
      <c r="D27" s="31">
        <v>892.46171470000002</v>
      </c>
      <c r="E27" s="31">
        <v>913.75607960000002</v>
      </c>
      <c r="F27" s="31">
        <f>F25</f>
        <v>924.65757341727783</v>
      </c>
      <c r="G27" s="31">
        <f>G25</f>
        <v>935.68912663454353</v>
      </c>
      <c r="H27" s="31">
        <f>H25</f>
        <v>946.85229091506551</v>
      </c>
    </row>
    <row r="28" spans="2:8" x14ac:dyDescent="0.25">
      <c r="B28" s="23"/>
      <c r="C28" s="23"/>
      <c r="D28" s="23"/>
      <c r="E28" s="23"/>
      <c r="F28" s="23"/>
      <c r="G28" s="23"/>
      <c r="H28" s="23"/>
    </row>
    <row r="29" spans="2:8" x14ac:dyDescent="0.25">
      <c r="B29" s="111" t="s">
        <v>65</v>
      </c>
      <c r="C29" s="111"/>
      <c r="D29" s="111"/>
      <c r="E29" s="111"/>
      <c r="F29" s="23"/>
      <c r="G29" s="23"/>
      <c r="H29" s="23"/>
    </row>
    <row r="30" spans="2:8" x14ac:dyDescent="0.25">
      <c r="B30" s="41" t="s">
        <v>66</v>
      </c>
      <c r="C30" s="41" t="s">
        <v>67</v>
      </c>
      <c r="D30" s="41" t="s">
        <v>68</v>
      </c>
      <c r="E30" s="23"/>
      <c r="F30" s="23"/>
      <c r="G30" s="23"/>
      <c r="H30" s="23"/>
    </row>
    <row r="31" spans="2:8" ht="24" x14ac:dyDescent="0.25">
      <c r="B31" s="23" t="s">
        <v>69</v>
      </c>
      <c r="C31" s="42">
        <f>AVERAGE(D7/C7-1,E7/D7-1)</f>
        <v>8.3309326225960323E-2</v>
      </c>
      <c r="D31" s="43" t="s">
        <v>111</v>
      </c>
      <c r="E31" s="23"/>
      <c r="F31" s="23"/>
      <c r="G31" s="23"/>
      <c r="H31" s="23"/>
    </row>
    <row r="32" spans="2:8" ht="24" x14ac:dyDescent="0.25">
      <c r="B32" s="23" t="s">
        <v>70</v>
      </c>
      <c r="C32" s="42">
        <f>AVERAGE(D8/C8-1,E8/D8-1)</f>
        <v>0.10268764091339888</v>
      </c>
      <c r="D32" s="43" t="s">
        <v>111</v>
      </c>
      <c r="E32" s="23"/>
      <c r="F32" s="23"/>
      <c r="G32" s="23"/>
      <c r="H32" s="23"/>
    </row>
    <row r="33" spans="2:8" ht="24" x14ac:dyDescent="0.25">
      <c r="B33" s="23" t="s">
        <v>71</v>
      </c>
      <c r="C33" s="42">
        <f>AVERAGE(D10/C10-1,E10/D10-1)</f>
        <v>0.12809310774630434</v>
      </c>
      <c r="D33" s="43" t="s">
        <v>111</v>
      </c>
      <c r="E33" s="23"/>
      <c r="F33" s="23"/>
      <c r="G33" s="23"/>
      <c r="H33" s="23"/>
    </row>
    <row r="34" spans="2:8" ht="24" x14ac:dyDescent="0.25">
      <c r="B34" s="23" t="s">
        <v>72</v>
      </c>
      <c r="C34" s="42">
        <f>AVERAGE(D13/C13-1,E13/D13-1)</f>
        <v>5.6554444716677588E-2</v>
      </c>
      <c r="D34" s="43" t="s">
        <v>111</v>
      </c>
      <c r="E34" s="23"/>
      <c r="F34" s="23"/>
      <c r="G34" s="23"/>
      <c r="H34" s="23"/>
    </row>
    <row r="35" spans="2:8" ht="60" x14ac:dyDescent="0.25">
      <c r="B35" s="23" t="s">
        <v>73</v>
      </c>
      <c r="C35" s="42">
        <f>AVERAGE(C16/'SBI BS Forecasting'!C21,D16/'SBI BS Forecasting'!D21,E16/'SBI BS Forecasting'!E21)</f>
        <v>3.6082768027770676E-3</v>
      </c>
      <c r="D35" s="43" t="s">
        <v>112</v>
      </c>
      <c r="E35" s="23"/>
      <c r="F35" s="23"/>
      <c r="G35" s="23"/>
      <c r="H35" s="23"/>
    </row>
    <row r="36" spans="2:8" ht="36" x14ac:dyDescent="0.25">
      <c r="B36" s="23" t="s">
        <v>74</v>
      </c>
      <c r="C36" s="42">
        <f>AVERAGE(C18/C17,D18/D17,E18/E17)</f>
        <v>0.25446818952724209</v>
      </c>
      <c r="D36" s="43" t="s">
        <v>113</v>
      </c>
      <c r="E36" s="23"/>
      <c r="F36" s="23"/>
      <c r="G36" s="23"/>
      <c r="H36" s="23"/>
    </row>
    <row r="37" spans="2:8" ht="24" x14ac:dyDescent="0.25">
      <c r="B37" s="23" t="s">
        <v>75</v>
      </c>
      <c r="C37" s="42">
        <f>AVERAGE(D20/C20-1,E20/D20-1)</f>
        <v>3.2948657512256341E-2</v>
      </c>
      <c r="D37" s="43" t="s">
        <v>111</v>
      </c>
      <c r="E37" s="23"/>
      <c r="F37" s="23"/>
      <c r="G37" s="23"/>
      <c r="H37" s="23"/>
    </row>
    <row r="38" spans="2:8" ht="24" x14ac:dyDescent="0.25">
      <c r="B38" s="23" t="s">
        <v>76</v>
      </c>
      <c r="C38" s="42">
        <f>AVERAGE(D21/C21-1,E21/D21-1)</f>
        <v>0.17067726144125106</v>
      </c>
      <c r="D38" s="43" t="s">
        <v>111</v>
      </c>
      <c r="E38" s="23"/>
      <c r="F38" s="23"/>
      <c r="G38" s="23"/>
      <c r="H38" s="23"/>
    </row>
    <row r="39" spans="2:8" ht="24" x14ac:dyDescent="0.25">
      <c r="B39" s="23" t="s">
        <v>77</v>
      </c>
      <c r="C39" s="42">
        <f>AVERAGE(D25/C25-1,E25/D25-1)</f>
        <v>1.193042001104927E-2</v>
      </c>
      <c r="D39" s="43" t="s">
        <v>111</v>
      </c>
      <c r="E39" s="23"/>
      <c r="F39" s="23"/>
      <c r="G39" s="23"/>
      <c r="H39" s="23"/>
    </row>
  </sheetData>
  <mergeCells count="4">
    <mergeCell ref="B3:H3"/>
    <mergeCell ref="B1:H2"/>
    <mergeCell ref="B4:H4"/>
    <mergeCell ref="B29:E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76DE-D51B-45CD-9273-2863823F2F62}">
  <dimension ref="B1:H40"/>
  <sheetViews>
    <sheetView workbookViewId="0">
      <selection activeCell="M23" sqref="M23"/>
    </sheetView>
  </sheetViews>
  <sheetFormatPr defaultRowHeight="15" x14ac:dyDescent="0.25"/>
  <cols>
    <col min="1" max="1" width="2.42578125" customWidth="1"/>
    <col min="2" max="2" width="49.42578125" bestFit="1" customWidth="1"/>
    <col min="3" max="4" width="17.140625" customWidth="1"/>
    <col min="5" max="5" width="21.5703125" customWidth="1"/>
    <col min="6" max="6" width="17.42578125" customWidth="1"/>
    <col min="7" max="7" width="17" customWidth="1"/>
    <col min="8" max="8" width="17.28515625" customWidth="1"/>
  </cols>
  <sheetData>
    <row r="1" spans="2:8" x14ac:dyDescent="0.25">
      <c r="B1" s="103" t="s">
        <v>20</v>
      </c>
      <c r="C1" s="103"/>
      <c r="D1" s="103"/>
      <c r="E1" s="103"/>
      <c r="F1" s="103"/>
      <c r="G1" s="103"/>
      <c r="H1" s="103"/>
    </row>
    <row r="2" spans="2:8" x14ac:dyDescent="0.25">
      <c r="B2" s="106"/>
      <c r="C2" s="103"/>
      <c r="D2" s="103"/>
      <c r="E2" s="103"/>
      <c r="F2" s="103"/>
      <c r="G2" s="103"/>
      <c r="H2" s="103"/>
    </row>
    <row r="3" spans="2:8" ht="15.75" x14ac:dyDescent="0.25">
      <c r="B3" s="104" t="s">
        <v>78</v>
      </c>
      <c r="C3" s="104"/>
      <c r="D3" s="104"/>
      <c r="E3" s="104"/>
      <c r="F3" s="104"/>
      <c r="G3" s="104"/>
      <c r="H3" s="104"/>
    </row>
    <row r="4" spans="2:8" x14ac:dyDescent="0.25">
      <c r="B4" s="110" t="s">
        <v>19</v>
      </c>
      <c r="C4" s="110"/>
      <c r="D4" s="110"/>
      <c r="E4" s="110"/>
      <c r="F4" s="110"/>
      <c r="G4" s="110"/>
      <c r="H4" s="110"/>
    </row>
    <row r="5" spans="2:8" x14ac:dyDescent="0.25">
      <c r="B5" s="5" t="s">
        <v>0</v>
      </c>
      <c r="C5" s="5">
        <v>2024</v>
      </c>
      <c r="D5" s="5">
        <v>2025</v>
      </c>
      <c r="E5" s="5">
        <v>2026</v>
      </c>
      <c r="F5" s="5">
        <v>2027</v>
      </c>
      <c r="G5" s="5">
        <v>2028</v>
      </c>
      <c r="H5" s="5">
        <v>2029</v>
      </c>
    </row>
    <row r="7" spans="2:8" x14ac:dyDescent="0.25">
      <c r="B7" s="44" t="s">
        <v>22</v>
      </c>
      <c r="C7" s="10"/>
      <c r="D7" s="10"/>
      <c r="E7" s="10"/>
    </row>
    <row r="8" spans="2:8" x14ac:dyDescent="0.25">
      <c r="B8" t="s">
        <v>23</v>
      </c>
      <c r="C8">
        <v>892.46119999999996</v>
      </c>
      <c r="D8" s="6">
        <v>892.46199999999999</v>
      </c>
      <c r="E8" s="6">
        <v>923.06179999999995</v>
      </c>
      <c r="F8" s="11">
        <f>E8*(1+$C$31)</f>
        <v>938.88670062195467</v>
      </c>
      <c r="G8" s="11">
        <f>F8*(1+$C$31)</f>
        <v>954.9829021250581</v>
      </c>
      <c r="H8" s="11">
        <f>G8*(1+$C$31)</f>
        <v>971.35505567078496</v>
      </c>
    </row>
    <row r="9" spans="2:8" x14ac:dyDescent="0.25">
      <c r="B9" s="6" t="s">
        <v>24</v>
      </c>
      <c r="C9">
        <v>414046.71029999998</v>
      </c>
      <c r="D9" s="6">
        <v>486144.29670000001</v>
      </c>
      <c r="E9" s="6">
        <v>595207.80759999994</v>
      </c>
      <c r="F9" s="12">
        <f>E9+'SBI IS Forecasting'!F22+'[1]SBI CF Forecasting'!F24+$C$39</f>
        <v>701407.3435867005</v>
      </c>
      <c r="G9" s="12">
        <f>F9+'[1]SBI IS Forecasting'!G22+'[1]SBI CF Forecasting'!G24+$C$39</f>
        <v>820022.58986811165</v>
      </c>
      <c r="H9" s="12">
        <f>G9+'[1]SBI IS Forecasting'!H22+'[1]SBI CF Forecasting'!H24+$C$39</f>
        <v>952546.71231945243</v>
      </c>
    </row>
    <row r="10" spans="2:8" x14ac:dyDescent="0.25">
      <c r="B10" t="s">
        <v>37</v>
      </c>
      <c r="C10">
        <v>15617.9624</v>
      </c>
      <c r="D10" s="6">
        <v>18025.838800000001</v>
      </c>
      <c r="E10" s="6">
        <v>18768.282299999999</v>
      </c>
      <c r="F10" s="11">
        <f>E10*(1+$C$32)</f>
        <v>20601.580003998333</v>
      </c>
      <c r="G10" s="11">
        <f>F10*(1+$C$32)</f>
        <v>22613.955389041861</v>
      </c>
      <c r="H10" s="11">
        <f>G10*(1+$C$32)</f>
        <v>24822.900876453419</v>
      </c>
    </row>
    <row r="11" spans="2:8" x14ac:dyDescent="0.25">
      <c r="B11" s="6"/>
      <c r="C11" s="6"/>
      <c r="D11" s="6"/>
      <c r="E11" s="6"/>
      <c r="F11" s="13"/>
      <c r="G11" s="13"/>
      <c r="H11" s="13"/>
    </row>
    <row r="12" spans="2:8" x14ac:dyDescent="0.25">
      <c r="B12" t="s">
        <v>25</v>
      </c>
      <c r="C12">
        <v>4966537.4872000003</v>
      </c>
      <c r="D12" s="6">
        <v>5439898.0190000003</v>
      </c>
      <c r="E12" s="6">
        <v>6043097.1228</v>
      </c>
      <c r="F12" s="11">
        <f>E12*(1+$C$33)</f>
        <v>6666123.0183228133</v>
      </c>
      <c r="G12" s="11">
        <f>F12*(1+$C$33)</f>
        <v>7353381.0879451483</v>
      </c>
      <c r="H12" s="11">
        <f>G12*(1+$C$33)</f>
        <v>8111493.4836821929</v>
      </c>
    </row>
    <row r="13" spans="2:8" x14ac:dyDescent="0.25">
      <c r="B13" s="6" t="s">
        <v>26</v>
      </c>
      <c r="C13">
        <v>639609.50289999996</v>
      </c>
      <c r="D13" s="6">
        <v>610857.245</v>
      </c>
      <c r="E13" s="6">
        <v>777302.14500000002</v>
      </c>
      <c r="F13" s="11">
        <f>E13*(1+$C$34)</f>
        <v>865729.88026787213</v>
      </c>
      <c r="G13" s="11">
        <f>F13*(1+$C$34)</f>
        <v>964217.36439261225</v>
      </c>
      <c r="H13" s="11">
        <f>G13*(1+$C$34)</f>
        <v>1073909.0182593274</v>
      </c>
    </row>
    <row r="14" spans="2:8" x14ac:dyDescent="0.25">
      <c r="B14" s="6" t="s">
        <v>27</v>
      </c>
      <c r="C14">
        <v>697074.67570000002</v>
      </c>
      <c r="D14" s="6">
        <v>758367.47919999994</v>
      </c>
      <c r="E14" s="6">
        <v>886270.15469999996</v>
      </c>
      <c r="F14" s="14">
        <f>F24-(F8+F9+F10+F12+F13)</f>
        <v>1023877.3869105922</v>
      </c>
      <c r="G14" s="14">
        <f>G24-(G8+G9+G10+G12+G13)</f>
        <v>1199662.1674051918</v>
      </c>
      <c r="H14" s="14">
        <f>H24-(H8+H9+H10+H12+H13)</f>
        <v>1421430.929778371</v>
      </c>
    </row>
    <row r="15" spans="2:8" x14ac:dyDescent="0.25">
      <c r="B15" s="7" t="s">
        <v>28</v>
      </c>
      <c r="C15" s="7">
        <f t="shared" ref="C15:H15" si="0">SUM(C8:C14)</f>
        <v>6733778.7996999994</v>
      </c>
      <c r="D15" s="7">
        <f t="shared" si="0"/>
        <v>7314185.3407000005</v>
      </c>
      <c r="E15" s="7">
        <f t="shared" si="0"/>
        <v>8321568.5742000006</v>
      </c>
      <c r="F15" s="15">
        <f t="shared" si="0"/>
        <v>9278678.095792599</v>
      </c>
      <c r="G15" s="15">
        <f t="shared" si="0"/>
        <v>10360852.147902232</v>
      </c>
      <c r="H15" s="15">
        <f t="shared" si="0"/>
        <v>11585174.399971468</v>
      </c>
    </row>
    <row r="16" spans="2:8" x14ac:dyDescent="0.25">
      <c r="C16" s="6"/>
      <c r="D16" s="6"/>
      <c r="E16" s="6"/>
      <c r="F16" s="13"/>
      <c r="G16" s="13"/>
      <c r="H16" s="13"/>
    </row>
    <row r="17" spans="2:8" x14ac:dyDescent="0.25">
      <c r="B17" s="10" t="s">
        <v>29</v>
      </c>
      <c r="C17" s="10"/>
      <c r="D17" s="10"/>
      <c r="E17" s="10"/>
      <c r="F17" s="13"/>
      <c r="G17" s="13"/>
      <c r="H17" s="13"/>
    </row>
    <row r="18" spans="2:8" x14ac:dyDescent="0.25">
      <c r="B18" s="6" t="s">
        <v>30</v>
      </c>
      <c r="C18">
        <v>225356.33609999999</v>
      </c>
      <c r="D18" s="6">
        <v>227485.1569</v>
      </c>
      <c r="E18" s="6">
        <v>268681.73680000001</v>
      </c>
      <c r="F18" s="12">
        <f>'[1]SBI CF Forecasting'!F32-F19</f>
        <v>300265.95276830299</v>
      </c>
      <c r="G18" s="12">
        <f>'[1]SBI CF Forecasting'!G32-G19</f>
        <v>336142.01707945147</v>
      </c>
      <c r="H18" s="12">
        <f>'[1]SBI CF Forecasting'!H32-H19</f>
        <v>376553.89842522971</v>
      </c>
    </row>
    <row r="19" spans="2:8" x14ac:dyDescent="0.25">
      <c r="B19" t="s">
        <v>31</v>
      </c>
      <c r="C19">
        <v>101215.96739999999</v>
      </c>
      <c r="D19" s="6">
        <v>130447.7859</v>
      </c>
      <c r="E19" s="6">
        <v>133161.47260000001</v>
      </c>
      <c r="F19" s="11">
        <f>E19*(1+$C$35)</f>
        <v>153775.48449003586</v>
      </c>
      <c r="G19" s="11">
        <f>F19*(1+$C$35)</f>
        <v>177580.64076970305</v>
      </c>
      <c r="H19" s="11">
        <f>G19*(1+$C$35)</f>
        <v>205070.9453509911</v>
      </c>
    </row>
    <row r="20" spans="2:8" x14ac:dyDescent="0.25">
      <c r="B20" s="6" t="s">
        <v>32</v>
      </c>
      <c r="C20">
        <v>2110548.2259</v>
      </c>
      <c r="D20" s="6">
        <v>2205601.1083</v>
      </c>
      <c r="E20" s="6">
        <v>2359502.1713</v>
      </c>
      <c r="F20" s="11">
        <f>E20*(1+$C$36)</f>
        <v>2494954.6269618324</v>
      </c>
      <c r="G20" s="11">
        <f>F20*(1+$C$36)</f>
        <v>2638183.0312826619</v>
      </c>
      <c r="H20" s="11">
        <f>G20*(1+$C$36)</f>
        <v>2789633.7798427818</v>
      </c>
    </row>
    <row r="21" spans="2:8" x14ac:dyDescent="0.25">
      <c r="B21" s="6" t="s">
        <v>33</v>
      </c>
      <c r="C21">
        <v>3784272.6705</v>
      </c>
      <c r="D21" s="6">
        <v>4250830.7363999998</v>
      </c>
      <c r="E21" s="6">
        <v>4978013.2067999998</v>
      </c>
      <c r="F21" s="11">
        <f>E21*(1+$C$37)</f>
        <v>5710669.777203572</v>
      </c>
      <c r="G21" s="11">
        <f>F21*(1+$C$37)</f>
        <v>6551157.6505499072</v>
      </c>
      <c r="H21" s="11">
        <f>G21*(1+$C$37)</f>
        <v>7515347.2774212323</v>
      </c>
    </row>
    <row r="22" spans="2:8" x14ac:dyDescent="0.25">
      <c r="B22" s="6" t="s">
        <v>34</v>
      </c>
      <c r="C22">
        <v>44708.177300000003</v>
      </c>
      <c r="D22" s="6">
        <v>46337.695399999997</v>
      </c>
      <c r="E22" s="6">
        <v>57152.101300000002</v>
      </c>
      <c r="F22" s="12">
        <f>E22-'[1]SBI CF Forecasting'!F19-'[1]SBI CF Forecasting'!F9</f>
        <v>60486.432521460614</v>
      </c>
      <c r="G22" s="12">
        <f>F22-'[1]SBI CF Forecasting'!G19-'[1]SBI CF Forecasting'!G9</f>
        <v>63661.756052425022</v>
      </c>
      <c r="H22" s="12">
        <f>G22-'[1]SBI CF Forecasting'!H19-'[1]SBI CF Forecasting'!H9</f>
        <v>66570.943383334859</v>
      </c>
    </row>
    <row r="23" spans="2:8" x14ac:dyDescent="0.25">
      <c r="B23" s="6" t="s">
        <v>35</v>
      </c>
      <c r="C23">
        <v>467677.42249999999</v>
      </c>
      <c r="D23" s="6">
        <v>453482.8579</v>
      </c>
      <c r="E23" s="6">
        <v>525057.88540000003</v>
      </c>
      <c r="F23" s="11">
        <f>E23*(1+$C$38)</f>
        <v>558525.82184739586</v>
      </c>
      <c r="G23" s="11">
        <f>F23*(1+$C$38)</f>
        <v>594127.05216808268</v>
      </c>
      <c r="H23" s="11">
        <f>G23*(1+$C$38)</f>
        <v>631997.55554789922</v>
      </c>
    </row>
    <row r="24" spans="2:8" x14ac:dyDescent="0.25">
      <c r="B24" s="7" t="s">
        <v>36</v>
      </c>
      <c r="C24" s="7">
        <f t="shared" ref="C24:H24" si="1">SUM(C17:C23)</f>
        <v>6733778.7996999994</v>
      </c>
      <c r="D24" s="7">
        <f t="shared" si="1"/>
        <v>7314185.3407999994</v>
      </c>
      <c r="E24" s="7">
        <f t="shared" si="1"/>
        <v>8321568.5742000006</v>
      </c>
      <c r="F24" s="15">
        <f t="shared" si="1"/>
        <v>9278678.095792599</v>
      </c>
      <c r="G24" s="15">
        <f t="shared" si="1"/>
        <v>10360852.147902232</v>
      </c>
      <c r="H24" s="15">
        <f t="shared" si="1"/>
        <v>11585174.399971468</v>
      </c>
    </row>
    <row r="25" spans="2:8" x14ac:dyDescent="0.25">
      <c r="C25" s="1"/>
      <c r="D25" s="1"/>
      <c r="E25" s="1"/>
    </row>
    <row r="26" spans="2:8" x14ac:dyDescent="0.25">
      <c r="B26" s="16" t="s">
        <v>79</v>
      </c>
      <c r="C26" s="17">
        <f t="shared" ref="C26:H26" si="2">C24-C15</f>
        <v>0</v>
      </c>
      <c r="D26" s="17">
        <f t="shared" si="2"/>
        <v>9.9998898804187775E-5</v>
      </c>
      <c r="E26" s="17">
        <f t="shared" si="2"/>
        <v>0</v>
      </c>
      <c r="F26" s="17">
        <f t="shared" si="2"/>
        <v>0</v>
      </c>
      <c r="G26" s="17">
        <f t="shared" si="2"/>
        <v>0</v>
      </c>
      <c r="H26" s="17">
        <f t="shared" si="2"/>
        <v>0</v>
      </c>
    </row>
    <row r="27" spans="2:8" x14ac:dyDescent="0.25">
      <c r="C27" s="1"/>
      <c r="D27" s="1"/>
      <c r="E27" s="1"/>
    </row>
    <row r="29" spans="2:8" x14ac:dyDescent="0.25">
      <c r="B29" s="113" t="s">
        <v>65</v>
      </c>
      <c r="C29" s="113"/>
      <c r="D29" s="113"/>
      <c r="E29" s="113"/>
    </row>
    <row r="30" spans="2:8" x14ac:dyDescent="0.25">
      <c r="B30" s="8" t="s">
        <v>66</v>
      </c>
      <c r="C30" s="8" t="s">
        <v>67</v>
      </c>
      <c r="D30" s="8" t="s">
        <v>68</v>
      </c>
      <c r="E30" s="8"/>
    </row>
    <row r="31" spans="2:8" x14ac:dyDescent="0.25">
      <c r="B31" t="s">
        <v>80</v>
      </c>
      <c r="C31" s="9">
        <f>AVERAGE(D8/C8-1,E8/D8-1)</f>
        <v>1.7143923215059642E-2</v>
      </c>
      <c r="D31" s="112" t="s">
        <v>114</v>
      </c>
      <c r="E31" s="112"/>
    </row>
    <row r="32" spans="2:8" x14ac:dyDescent="0.25">
      <c r="B32" t="s">
        <v>81</v>
      </c>
      <c r="C32" s="9">
        <f>AVERAGE(D10/C10-1,E10/D10-1)</f>
        <v>9.7680633458840038E-2</v>
      </c>
      <c r="D32" s="112" t="s">
        <v>115</v>
      </c>
      <c r="E32" s="112"/>
    </row>
    <row r="33" spans="2:5" x14ac:dyDescent="0.25">
      <c r="B33" t="s">
        <v>82</v>
      </c>
      <c r="C33" s="9">
        <f>AVERAGE(D12/C12-1,E12/D12-1)</f>
        <v>0.10309711772994656</v>
      </c>
      <c r="D33" s="112" t="s">
        <v>116</v>
      </c>
      <c r="E33" s="112"/>
    </row>
    <row r="34" spans="2:5" x14ac:dyDescent="0.25">
      <c r="B34" t="s">
        <v>83</v>
      </c>
      <c r="C34" s="9">
        <f>AVERAGE(D13/C13-1,E13/D13-1)</f>
        <v>0.11376237134643713</v>
      </c>
      <c r="D34" s="112" t="s">
        <v>117</v>
      </c>
      <c r="E34" s="112"/>
    </row>
    <row r="35" spans="2:5" x14ac:dyDescent="0.25">
      <c r="B35" t="s">
        <v>84</v>
      </c>
      <c r="C35" s="9">
        <f>AVERAGE(D19/C19-1,E19/D19-1)</f>
        <v>0.15480462544866636</v>
      </c>
      <c r="D35" s="112" t="s">
        <v>118</v>
      </c>
      <c r="E35" s="112"/>
    </row>
    <row r="36" spans="2:5" x14ac:dyDescent="0.25">
      <c r="B36" t="s">
        <v>85</v>
      </c>
      <c r="C36" s="9">
        <f>AVERAGE(D20/C20-1,E20/D20-1)</f>
        <v>5.7407218060411047E-2</v>
      </c>
      <c r="D36" s="112" t="s">
        <v>119</v>
      </c>
      <c r="E36" s="112"/>
    </row>
    <row r="37" spans="2:5" x14ac:dyDescent="0.25">
      <c r="B37" t="s">
        <v>86</v>
      </c>
      <c r="C37" s="9">
        <f>AVERAGE(D21/C21-1,E21/D21-1)</f>
        <v>0.14717851077670085</v>
      </c>
      <c r="D37" s="112" t="s">
        <v>120</v>
      </c>
      <c r="E37" s="112"/>
    </row>
    <row r="38" spans="2:5" x14ac:dyDescent="0.25">
      <c r="B38" t="s">
        <v>87</v>
      </c>
      <c r="C38" s="9">
        <f>AVERAGE(D23/C23-1,E23/D23-1)</f>
        <v>6.3741422380313828E-2</v>
      </c>
      <c r="D38" s="112" t="s">
        <v>121</v>
      </c>
      <c r="E38" s="112"/>
    </row>
    <row r="39" spans="2:5" ht="48" customHeight="1" x14ac:dyDescent="0.25">
      <c r="B39" t="s">
        <v>88</v>
      </c>
      <c r="C39" s="18">
        <f>AVERAGE((D9-C9)-('SBI IS Forecasting'!D22+'SBI CF Forecasting'!D24),(E9-D9)-('SBI IS Forecasting'!E22+'SBI CF Forecasting'!E24))</f>
        <v>23358.919899999961</v>
      </c>
      <c r="D39" s="112" t="s">
        <v>89</v>
      </c>
      <c r="E39" s="112"/>
    </row>
    <row r="40" spans="2:5" ht="39" customHeight="1" x14ac:dyDescent="0.25">
      <c r="B40" s="19" t="s">
        <v>27</v>
      </c>
      <c r="C40" s="20" t="s">
        <v>90</v>
      </c>
      <c r="D40" s="112" t="s">
        <v>91</v>
      </c>
      <c r="E40" s="112"/>
    </row>
  </sheetData>
  <mergeCells count="14">
    <mergeCell ref="D32:E32"/>
    <mergeCell ref="B1:H2"/>
    <mergeCell ref="B3:H3"/>
    <mergeCell ref="B4:H4"/>
    <mergeCell ref="B29:E29"/>
    <mergeCell ref="D31:E31"/>
    <mergeCell ref="D39:E39"/>
    <mergeCell ref="D40:E40"/>
    <mergeCell ref="D33:E33"/>
    <mergeCell ref="D34:E34"/>
    <mergeCell ref="D35:E35"/>
    <mergeCell ref="D36:E36"/>
    <mergeCell ref="D37:E37"/>
    <mergeCell ref="D38:E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4103-8FE3-48E1-9EBA-9B9080D4CE42}">
  <dimension ref="B1:H46"/>
  <sheetViews>
    <sheetView workbookViewId="0">
      <selection activeCell="B7" sqref="B7:B32"/>
    </sheetView>
  </sheetViews>
  <sheetFormatPr defaultRowHeight="15" x14ac:dyDescent="0.25"/>
  <cols>
    <col min="1" max="1" width="2.42578125" customWidth="1"/>
    <col min="2" max="2" width="92" bestFit="1" customWidth="1"/>
    <col min="3" max="3" width="17" customWidth="1"/>
    <col min="4" max="4" width="19.5703125" customWidth="1"/>
    <col min="5" max="5" width="17.28515625" customWidth="1"/>
    <col min="6" max="8" width="17.140625" customWidth="1"/>
  </cols>
  <sheetData>
    <row r="1" spans="2:8" x14ac:dyDescent="0.25">
      <c r="B1" s="103" t="s">
        <v>20</v>
      </c>
      <c r="C1" s="103"/>
      <c r="D1" s="103"/>
      <c r="E1" s="103"/>
      <c r="F1" s="103"/>
      <c r="G1" s="103"/>
      <c r="H1" s="103"/>
    </row>
    <row r="2" spans="2:8" x14ac:dyDescent="0.25">
      <c r="B2" s="106"/>
      <c r="C2" s="103"/>
      <c r="D2" s="103"/>
      <c r="E2" s="103"/>
      <c r="F2" s="103"/>
      <c r="G2" s="103"/>
      <c r="H2" s="103"/>
    </row>
    <row r="3" spans="2:8" ht="15.75" x14ac:dyDescent="0.25">
      <c r="B3" s="104" t="s">
        <v>92</v>
      </c>
      <c r="C3" s="104"/>
      <c r="D3" s="104"/>
      <c r="E3" s="104"/>
      <c r="F3" s="104"/>
      <c r="G3" s="104"/>
      <c r="H3" s="104"/>
    </row>
    <row r="4" spans="2:8" x14ac:dyDescent="0.25">
      <c r="B4" s="110" t="s">
        <v>19</v>
      </c>
      <c r="C4" s="110"/>
      <c r="D4" s="110"/>
      <c r="E4" s="110"/>
      <c r="F4" s="110"/>
      <c r="G4" s="110"/>
      <c r="H4" s="110"/>
    </row>
    <row r="5" spans="2:8" x14ac:dyDescent="0.25">
      <c r="B5" s="5" t="s">
        <v>0</v>
      </c>
      <c r="C5" s="5">
        <v>2024</v>
      </c>
      <c r="D5" s="5">
        <v>2025</v>
      </c>
      <c r="E5" s="5">
        <v>2026</v>
      </c>
      <c r="F5" s="5">
        <v>2027</v>
      </c>
      <c r="G5" s="5">
        <v>2028</v>
      </c>
      <c r="H5" s="5">
        <v>2029</v>
      </c>
    </row>
    <row r="7" spans="2:8" x14ac:dyDescent="0.25">
      <c r="B7" s="45" t="s">
        <v>41</v>
      </c>
      <c r="C7" s="23"/>
      <c r="D7" s="23"/>
      <c r="E7" s="23"/>
      <c r="F7" s="23"/>
      <c r="G7" s="23"/>
      <c r="H7" s="23"/>
    </row>
    <row r="8" spans="2:8" x14ac:dyDescent="0.25">
      <c r="B8" s="38" t="s">
        <v>61</v>
      </c>
      <c r="C8" s="39">
        <f>'[1]SBI IS Forecasting'!C17+'[1]SBI IS Forecasting'!C20-'[1]SBI IS Forecasting'!C21</f>
        <v>90186.44279999999</v>
      </c>
      <c r="D8" s="39">
        <f>'[1]SBI IS Forecasting'!D17+'[1]SBI IS Forecasting'!D20-'[1]SBI IS Forecasting'!D21</f>
        <v>104909.47620000002</v>
      </c>
      <c r="E8" s="39">
        <f>'[1]SBI IS Forecasting'!E17+'[1]SBI IS Forecasting'!E20-'[1]SBI IS Forecasting'!E21</f>
        <v>112158.29550000002</v>
      </c>
      <c r="F8" s="46">
        <f>'SBI IS Forecasting'!F17+'SBI IS Forecasting'!F20-'SBI IS Forecasting'!F21</f>
        <v>133010.532906009</v>
      </c>
      <c r="G8" s="46">
        <f>'SBI IS Forecasting'!G17+'SBI IS Forecasting'!G20-'SBI IS Forecasting'!G21</f>
        <v>153035.15124741517</v>
      </c>
      <c r="H8" s="46">
        <f>'SBI IS Forecasting'!H17+'SBI IS Forecasting'!H20-'SBI IS Forecasting'!H21</f>
        <v>175481.10940131283</v>
      </c>
    </row>
    <row r="9" spans="2:8" x14ac:dyDescent="0.25">
      <c r="B9" s="23" t="s">
        <v>42</v>
      </c>
      <c r="C9" s="37">
        <v>3849.1244999999999</v>
      </c>
      <c r="D9" s="37">
        <v>3991.4767000000002</v>
      </c>
      <c r="E9" s="37">
        <v>4829.7184999999999</v>
      </c>
      <c r="F9" s="37">
        <f>E9*(1+$C$37)</f>
        <v>5426.1668744869612</v>
      </c>
      <c r="G9" s="37">
        <f>F9*(1+$C$37)</f>
        <v>6096.2739235795207</v>
      </c>
      <c r="H9" s="37">
        <f>G9*(1+$C$37)</f>
        <v>6849.1361601977114</v>
      </c>
    </row>
    <row r="10" spans="2:8" x14ac:dyDescent="0.25">
      <c r="B10" s="23" t="s">
        <v>44</v>
      </c>
      <c r="C10" s="37">
        <v>11088.191199999999</v>
      </c>
      <c r="D10" s="37">
        <v>20360.1505</v>
      </c>
      <c r="E10" s="37">
        <v>28893.687300000001</v>
      </c>
      <c r="F10" s="40">
        <f>$C$38*'SBI IS Forecasting'!F11</f>
        <v>23404.011226820097</v>
      </c>
      <c r="G10" s="40">
        <f>$C$38*'SBI IS Forecasting'!G11</f>
        <v>25529.63485907207</v>
      </c>
      <c r="H10" s="40">
        <f>$C$38*'SBI IS Forecasting'!H11</f>
        <v>27864.100147762161</v>
      </c>
    </row>
    <row r="11" spans="2:8" x14ac:dyDescent="0.25">
      <c r="B11" s="23" t="s">
        <v>43</v>
      </c>
      <c r="C11" s="37">
        <v>-31268.268199999999</v>
      </c>
      <c r="D11" s="37">
        <v>-33761.445099999997</v>
      </c>
      <c r="E11" s="37">
        <v>-36322.9663</v>
      </c>
      <c r="F11" s="37">
        <f>E11*(1+$C$39)</f>
        <v>-39149.006488391205</v>
      </c>
      <c r="G11" s="37">
        <f t="shared" ref="G11:H11" si="0">F11*(1+$C$39)</f>
        <v>-42194.921427110887</v>
      </c>
      <c r="H11" s="37">
        <f t="shared" si="0"/>
        <v>-45477.818058243807</v>
      </c>
    </row>
    <row r="12" spans="2:8" x14ac:dyDescent="0.25">
      <c r="B12" s="23" t="s">
        <v>45</v>
      </c>
      <c r="C12" s="37">
        <v>-52223.063800000004</v>
      </c>
      <c r="D12" s="37">
        <v>-50015.650300000001</v>
      </c>
      <c r="E12" s="37">
        <v>-71461.346799999999</v>
      </c>
      <c r="F12" s="40">
        <f>$C$40*'SBI BS Forecasting'!F21</f>
        <v>-75992.854064051979</v>
      </c>
      <c r="G12" s="40">
        <f>$C$40*'SBI BS Forecasting'!G21</f>
        <v>-87177.369154870306</v>
      </c>
      <c r="H12" s="40">
        <f>$C$40*'SBI BS Forecasting'!H21</f>
        <v>-100008.00452051481</v>
      </c>
    </row>
    <row r="13" spans="2:8" x14ac:dyDescent="0.25">
      <c r="B13" s="23"/>
      <c r="C13" s="23"/>
      <c r="D13" s="23"/>
      <c r="E13" s="23"/>
      <c r="F13" s="23"/>
      <c r="G13" s="23"/>
      <c r="H13" s="23"/>
    </row>
    <row r="14" spans="2:8" x14ac:dyDescent="0.25">
      <c r="B14" s="38" t="s">
        <v>46</v>
      </c>
      <c r="C14" s="39">
        <f>C8+C9+C1+C10+C11+C12</f>
        <v>21632.426500000001</v>
      </c>
      <c r="D14" s="39">
        <f>D8+D9+D1+D10+D11+D12</f>
        <v>45484.008000000023</v>
      </c>
      <c r="E14" s="39">
        <f>E8+E9+E1+E10+E11+E12</f>
        <v>38097.388200000016</v>
      </c>
      <c r="F14" s="39">
        <f>SUM(F8:F12)</f>
        <v>46698.850454872867</v>
      </c>
      <c r="G14" s="39">
        <f>SUM(G8:G12)</f>
        <v>55288.769448085572</v>
      </c>
      <c r="H14" s="39">
        <f>SUM(H8:H12)</f>
        <v>64708.523130514106</v>
      </c>
    </row>
    <row r="15" spans="2:8" x14ac:dyDescent="0.25">
      <c r="B15" s="23"/>
      <c r="C15" s="23"/>
      <c r="D15" s="23"/>
      <c r="E15" s="23"/>
      <c r="F15" s="23"/>
      <c r="G15" s="23"/>
      <c r="H15" s="23"/>
    </row>
    <row r="16" spans="2:8" x14ac:dyDescent="0.25">
      <c r="B16" s="45" t="s">
        <v>47</v>
      </c>
      <c r="C16" s="23"/>
      <c r="D16" s="23"/>
      <c r="E16" s="23"/>
      <c r="F16" s="23"/>
      <c r="G16" s="23"/>
      <c r="H16" s="23"/>
    </row>
    <row r="17" spans="2:8" x14ac:dyDescent="0.25">
      <c r="B17" s="23" t="s">
        <v>49</v>
      </c>
      <c r="C17" s="37">
        <v>-82.161000000000001</v>
      </c>
      <c r="D17" s="33" t="s">
        <v>62</v>
      </c>
      <c r="E17" s="37">
        <v>-108.2683</v>
      </c>
      <c r="F17" s="37">
        <f t="shared" ref="F17:H18" si="1">E17*(1+$C$41)</f>
        <v>-114.48368190712999</v>
      </c>
      <c r="G17" s="37">
        <f t="shared" si="1"/>
        <v>-121.05587159873134</v>
      </c>
      <c r="H17" s="37">
        <f t="shared" si="1"/>
        <v>-128.00535241709284</v>
      </c>
    </row>
    <row r="18" spans="2:8" x14ac:dyDescent="0.25">
      <c r="B18" s="23" t="s">
        <v>48</v>
      </c>
      <c r="C18" s="47" t="s">
        <v>62</v>
      </c>
      <c r="D18" s="37">
        <v>-6.5190000000000001</v>
      </c>
      <c r="E18" s="37">
        <v>7779.4108999999999</v>
      </c>
      <c r="F18" s="37">
        <f t="shared" si="1"/>
        <v>8226.0052379178378</v>
      </c>
      <c r="G18" s="37">
        <f t="shared" si="1"/>
        <v>8698.237314377071</v>
      </c>
      <c r="H18" s="37">
        <f t="shared" si="1"/>
        <v>9197.5789206247191</v>
      </c>
    </row>
    <row r="19" spans="2:8" x14ac:dyDescent="0.25">
      <c r="B19" s="23" t="s">
        <v>50</v>
      </c>
      <c r="C19" s="37">
        <v>-4175.1261999999997</v>
      </c>
      <c r="D19" s="37">
        <v>-5637.2241000000004</v>
      </c>
      <c r="E19" s="37">
        <v>-8362.9581999999991</v>
      </c>
      <c r="F19" s="40">
        <f>-$C$42*'SBI BS Forecasting'!E22</f>
        <v>-8760.4980959475724</v>
      </c>
      <c r="G19" s="40">
        <f>-$C$42*'SBI BS Forecasting'!F22</f>
        <v>-9271.5974545439331</v>
      </c>
      <c r="H19" s="40">
        <f>-$C$42*'SBI BS Forecasting'!G22</f>
        <v>-9758.3234911075488</v>
      </c>
    </row>
    <row r="20" spans="2:8" x14ac:dyDescent="0.25">
      <c r="B20" s="23" t="s">
        <v>51</v>
      </c>
      <c r="C20" s="37">
        <v>5.5719000000000003</v>
      </c>
      <c r="D20" s="37">
        <v>9.0008999999999997</v>
      </c>
      <c r="E20" s="37">
        <v>0.92989999999999995</v>
      </c>
      <c r="F20" s="37">
        <f>$C$43</f>
        <v>0.92989999999999995</v>
      </c>
      <c r="G20" s="37">
        <f>$C$43</f>
        <v>0.92989999999999995</v>
      </c>
      <c r="H20" s="37">
        <f>$C$43</f>
        <v>0.92989999999999995</v>
      </c>
    </row>
    <row r="21" spans="2:8" x14ac:dyDescent="0.25">
      <c r="B21" s="38" t="s">
        <v>52</v>
      </c>
      <c r="C21" s="39">
        <f t="shared" ref="C21:H21" si="2">SUM(C17:C20)</f>
        <v>-4251.7152999999998</v>
      </c>
      <c r="D21" s="39">
        <f t="shared" si="2"/>
        <v>-5634.7422000000006</v>
      </c>
      <c r="E21" s="39">
        <f t="shared" si="2"/>
        <v>-690.88569999999902</v>
      </c>
      <c r="F21" s="39">
        <f t="shared" si="2"/>
        <v>-648.04663993686438</v>
      </c>
      <c r="G21" s="39">
        <f t="shared" si="2"/>
        <v>-693.48611176559382</v>
      </c>
      <c r="H21" s="39">
        <f t="shared" si="2"/>
        <v>-687.82002289992226</v>
      </c>
    </row>
    <row r="22" spans="2:8" x14ac:dyDescent="0.25">
      <c r="B22" s="23"/>
      <c r="C22" s="23"/>
      <c r="D22" s="23"/>
      <c r="E22" s="23"/>
      <c r="F22" s="23"/>
      <c r="G22" s="23"/>
      <c r="H22" s="23"/>
    </row>
    <row r="23" spans="2:8" x14ac:dyDescent="0.25">
      <c r="B23" s="45" t="s">
        <v>53</v>
      </c>
      <c r="C23" s="23"/>
      <c r="D23" s="23"/>
      <c r="E23" s="23"/>
      <c r="F23" s="23"/>
      <c r="G23" s="23"/>
      <c r="H23" s="23"/>
    </row>
    <row r="24" spans="2:8" x14ac:dyDescent="0.25">
      <c r="B24" s="23" t="s">
        <v>54</v>
      </c>
      <c r="C24" s="37">
        <v>-10084.8115</v>
      </c>
      <c r="D24" s="37">
        <v>-12226.7183</v>
      </c>
      <c r="E24" s="37">
        <v>-14190.1459</v>
      </c>
      <c r="F24" s="40">
        <f>-$C$44*'SBI IS Forecasting'!F22</f>
        <v>-15713.514418714602</v>
      </c>
      <c r="G24" s="40">
        <f>-$C$44*'SBI IS Forecasting'!G22</f>
        <v>-18068.572262928781</v>
      </c>
      <c r="H24" s="40">
        <f>-$C$44*'SBI IS Forecasting'!H22</f>
        <v>-20706.859332348478</v>
      </c>
    </row>
    <row r="25" spans="2:8" x14ac:dyDescent="0.25">
      <c r="B25" s="37" t="s">
        <v>55</v>
      </c>
      <c r="C25" s="37">
        <v>188.53</v>
      </c>
      <c r="D25" s="37">
        <v>1489.9242999999999</v>
      </c>
      <c r="E25" s="37">
        <v>10763.0085</v>
      </c>
      <c r="F25" s="37">
        <f>E25*(1+$C$45)</f>
        <v>11930.038762117387</v>
      </c>
      <c r="G25" s="37">
        <f>F25*(1+$C$45)</f>
        <v>13223.609817424502</v>
      </c>
      <c r="H25" s="37">
        <f>G25*(1+$C$45)</f>
        <v>14657.442451800567</v>
      </c>
    </row>
    <row r="26" spans="2:8" x14ac:dyDescent="0.25">
      <c r="B26" s="38" t="s">
        <v>56</v>
      </c>
      <c r="C26" s="48">
        <f t="shared" ref="C26:H26" si="3">SUM(C24:C25)</f>
        <v>-9896.2814999999991</v>
      </c>
      <c r="D26" s="48">
        <f t="shared" si="3"/>
        <v>-10736.794</v>
      </c>
      <c r="E26" s="48">
        <f t="shared" si="3"/>
        <v>-3427.1373999999996</v>
      </c>
      <c r="F26" s="48">
        <f t="shared" si="3"/>
        <v>-3783.4756565972148</v>
      </c>
      <c r="G26" s="48">
        <f t="shared" si="3"/>
        <v>-4844.9624455042795</v>
      </c>
      <c r="H26" s="48">
        <f t="shared" si="3"/>
        <v>-6049.4168805479112</v>
      </c>
    </row>
    <row r="27" spans="2:8" x14ac:dyDescent="0.25">
      <c r="B27" s="23"/>
      <c r="C27" s="23"/>
      <c r="D27" s="23"/>
      <c r="E27" s="23"/>
      <c r="F27" s="23"/>
      <c r="G27" s="23"/>
      <c r="H27" s="23"/>
    </row>
    <row r="28" spans="2:8" x14ac:dyDescent="0.25">
      <c r="B28" s="23" t="s">
        <v>58</v>
      </c>
      <c r="C28" s="37">
        <v>775.95809999999994</v>
      </c>
      <c r="D28" s="37">
        <v>2248.1669000000002</v>
      </c>
      <c r="E28" s="37">
        <v>9930.8996999999999</v>
      </c>
      <c r="F28" s="37">
        <f>$C$46</f>
        <v>9930.8996999999999</v>
      </c>
      <c r="G28" s="37">
        <f>$C$46</f>
        <v>9930.8996999999999</v>
      </c>
      <c r="H28" s="37">
        <f>$C$46</f>
        <v>9930.8996999999999</v>
      </c>
    </row>
    <row r="29" spans="2:8" x14ac:dyDescent="0.25">
      <c r="B29" s="38" t="s">
        <v>57</v>
      </c>
      <c r="C29" s="48">
        <f t="shared" ref="C29:H29" si="4">C14+C21+C26+C28</f>
        <v>8260.3878000000022</v>
      </c>
      <c r="D29" s="48">
        <f t="shared" si="4"/>
        <v>31360.638700000021</v>
      </c>
      <c r="E29" s="48">
        <f t="shared" si="4"/>
        <v>43910.264800000019</v>
      </c>
      <c r="F29" s="48">
        <f t="shared" si="4"/>
        <v>52198.227858338789</v>
      </c>
      <c r="G29" s="48">
        <f t="shared" si="4"/>
        <v>59681.220590815698</v>
      </c>
      <c r="H29" s="48">
        <f t="shared" si="4"/>
        <v>67902.185927066268</v>
      </c>
    </row>
    <row r="30" spans="2:8" x14ac:dyDescent="0.25">
      <c r="B30" s="23"/>
      <c r="C30" s="23"/>
      <c r="D30" s="23"/>
      <c r="E30" s="23"/>
      <c r="F30" s="23"/>
      <c r="G30" s="23"/>
      <c r="H30" s="23"/>
    </row>
    <row r="31" spans="2:8" x14ac:dyDescent="0.25">
      <c r="B31" s="44" t="s">
        <v>59</v>
      </c>
      <c r="C31" s="49">
        <v>318311.90970000002</v>
      </c>
      <c r="D31" s="49">
        <f>'[1]SBI BS Forecasting'!C18+'[1]SBI BS Forecasting'!C19</f>
        <v>326572.30349999998</v>
      </c>
      <c r="E31" s="49">
        <f>'[1]SBI BS Forecasting'!D18+'[1]SBI BS Forecasting'!D19</f>
        <v>357932.94280000002</v>
      </c>
      <c r="F31" s="50">
        <f>'SBI BS Forecasting'!E18+'SBI BS Forecasting'!E19</f>
        <v>401843.20940000005</v>
      </c>
      <c r="G31" s="50">
        <f>'SBI BS Forecasting'!F18+'SBI BS Forecasting'!F19</f>
        <v>454041.43725833885</v>
      </c>
      <c r="H31" s="50">
        <f>'SBI BS Forecasting'!G18+'SBI BS Forecasting'!G19</f>
        <v>513722.65784915455</v>
      </c>
    </row>
    <row r="32" spans="2:8" x14ac:dyDescent="0.25">
      <c r="B32" s="44" t="s">
        <v>60</v>
      </c>
      <c r="C32" s="51">
        <f>C29+C31</f>
        <v>326572.29750000004</v>
      </c>
      <c r="D32" s="51">
        <f>D31+D29</f>
        <v>357932.94219999999</v>
      </c>
      <c r="E32" s="51">
        <f>E31+E29</f>
        <v>401843.20760000002</v>
      </c>
      <c r="F32" s="51">
        <f>F31+F29</f>
        <v>454041.43725833885</v>
      </c>
      <c r="G32" s="51">
        <f>G31+G29</f>
        <v>513722.65784915455</v>
      </c>
      <c r="H32" s="51">
        <f>H31+H29</f>
        <v>581624.84377622081</v>
      </c>
    </row>
    <row r="33" spans="2:8" x14ac:dyDescent="0.25">
      <c r="B33" s="23"/>
      <c r="C33" s="23"/>
      <c r="D33" s="23"/>
      <c r="E33" s="23"/>
      <c r="F33" s="23"/>
      <c r="G33" s="23"/>
      <c r="H33" s="23"/>
    </row>
    <row r="34" spans="2:8" x14ac:dyDescent="0.25">
      <c r="B34" s="23"/>
      <c r="C34" s="23"/>
      <c r="D34" s="23"/>
      <c r="E34" s="23"/>
      <c r="F34" s="23"/>
      <c r="G34" s="23"/>
      <c r="H34" s="23"/>
    </row>
    <row r="35" spans="2:8" x14ac:dyDescent="0.25">
      <c r="B35" s="111" t="s">
        <v>65</v>
      </c>
      <c r="C35" s="111"/>
      <c r="D35" s="111"/>
      <c r="E35" s="111"/>
      <c r="F35" s="23"/>
      <c r="G35" s="23"/>
      <c r="H35" s="23"/>
    </row>
    <row r="36" spans="2:8" x14ac:dyDescent="0.25">
      <c r="B36" s="41" t="s">
        <v>66</v>
      </c>
      <c r="C36" s="41" t="s">
        <v>67</v>
      </c>
      <c r="D36" s="115" t="s">
        <v>68</v>
      </c>
      <c r="E36" s="115"/>
      <c r="F36" s="23"/>
      <c r="G36" s="23"/>
      <c r="H36" s="23"/>
    </row>
    <row r="37" spans="2:8" x14ac:dyDescent="0.25">
      <c r="B37" s="23" t="s">
        <v>93</v>
      </c>
      <c r="C37" s="42">
        <f>AVERAGE(D9/C9-1,E9/D9-1)</f>
        <v>0.12349547380182935</v>
      </c>
      <c r="D37" s="114" t="s">
        <v>122</v>
      </c>
      <c r="E37" s="114"/>
      <c r="F37" s="23"/>
      <c r="G37" s="23"/>
      <c r="H37" s="23"/>
    </row>
    <row r="38" spans="2:8" x14ac:dyDescent="0.25">
      <c r="B38" s="23" t="s">
        <v>94</v>
      </c>
      <c r="C38" s="42">
        <f>AVERAGE(C10/'SBI IS Forecasting'!C11,D10/'SBI IS Forecasting'!D11,E10/'SBI IS Forecasting'!E11)</f>
        <v>5.3986534770074944E-2</v>
      </c>
      <c r="D38" s="114" t="s">
        <v>95</v>
      </c>
      <c r="E38" s="114"/>
      <c r="F38" s="23"/>
      <c r="G38" s="23"/>
      <c r="H38" s="23"/>
    </row>
    <row r="39" spans="2:8" x14ac:dyDescent="0.25">
      <c r="B39" s="23" t="s">
        <v>96</v>
      </c>
      <c r="C39" s="42">
        <f>AVERAGE(D11/C11-1,E11/D11-1)</f>
        <v>7.7803122273942926E-2</v>
      </c>
      <c r="D39" s="114" t="s">
        <v>123</v>
      </c>
      <c r="E39" s="114"/>
      <c r="F39" s="23"/>
      <c r="G39" s="23"/>
      <c r="H39" s="23"/>
    </row>
    <row r="40" spans="2:8" x14ac:dyDescent="0.25">
      <c r="B40" s="23" t="s">
        <v>97</v>
      </c>
      <c r="C40" s="42">
        <f>AVERAGE(C12/'SBI BS Forecasting'!C21,D12/'SBI BS Forecasting'!D21,E12/'SBI BS Forecasting'!E21)</f>
        <v>-1.3307170091923004E-2</v>
      </c>
      <c r="D40" s="114" t="s">
        <v>98</v>
      </c>
      <c r="E40" s="114"/>
      <c r="F40" s="23"/>
      <c r="G40" s="23"/>
      <c r="H40" s="23"/>
    </row>
    <row r="41" spans="2:8" x14ac:dyDescent="0.25">
      <c r="B41" s="23" t="s">
        <v>99</v>
      </c>
      <c r="C41" s="42">
        <f>'SBI BS Forecasting'!$C$36</f>
        <v>5.7407218060411047E-2</v>
      </c>
      <c r="D41" s="114" t="s">
        <v>100</v>
      </c>
      <c r="E41" s="114"/>
      <c r="F41" s="23"/>
      <c r="G41" s="23"/>
      <c r="H41" s="23"/>
    </row>
    <row r="42" spans="2:8" x14ac:dyDescent="0.25">
      <c r="B42" s="23" t="s">
        <v>101</v>
      </c>
      <c r="C42" s="42">
        <f>AVERAGE(-D19/'SBI BS Forecasting'!C22,-E19/'SBI BS Forecasting'!D22)</f>
        <v>0.15328391951789133</v>
      </c>
      <c r="D42" s="114" t="s">
        <v>102</v>
      </c>
      <c r="E42" s="114"/>
      <c r="F42" s="23"/>
      <c r="G42" s="23"/>
      <c r="H42" s="23"/>
    </row>
    <row r="43" spans="2:8" x14ac:dyDescent="0.25">
      <c r="B43" s="23" t="s">
        <v>103</v>
      </c>
      <c r="C43" s="52">
        <f>E20</f>
        <v>0.92989999999999995</v>
      </c>
      <c r="D43" s="114" t="s">
        <v>104</v>
      </c>
      <c r="E43" s="114"/>
      <c r="F43" s="23"/>
      <c r="G43" s="23"/>
      <c r="H43" s="23"/>
    </row>
    <row r="44" spans="2:8" x14ac:dyDescent="0.25">
      <c r="B44" s="23" t="s">
        <v>105</v>
      </c>
      <c r="C44" s="42">
        <f>AVERAGE(-C24/'SBI IS Forecasting'!C22,-D24/'SBI IS Forecasting'!D22,-E24/'SBI IS Forecasting'!E22)</f>
        <v>0.15944044494260143</v>
      </c>
      <c r="D44" s="114" t="s">
        <v>106</v>
      </c>
      <c r="E44" s="114"/>
      <c r="F44" s="23"/>
      <c r="G44" s="23"/>
      <c r="H44" s="23"/>
    </row>
    <row r="45" spans="2:8" x14ac:dyDescent="0.25">
      <c r="B45" s="23" t="s">
        <v>107</v>
      </c>
      <c r="C45" s="42">
        <f>AVERAGE('SBI BS Forecasting'!$C$33,'SBI BS Forecasting'!$C$34)</f>
        <v>0.10842974453819185</v>
      </c>
      <c r="D45" s="114" t="s">
        <v>108</v>
      </c>
      <c r="E45" s="114"/>
      <c r="F45" s="23"/>
      <c r="G45" s="23"/>
      <c r="H45" s="23"/>
    </row>
    <row r="46" spans="2:8" x14ac:dyDescent="0.25">
      <c r="B46" s="23" t="s">
        <v>109</v>
      </c>
      <c r="C46" s="52">
        <f>E28</f>
        <v>9930.8996999999999</v>
      </c>
      <c r="D46" s="114" t="s">
        <v>110</v>
      </c>
      <c r="E46" s="114"/>
      <c r="F46" s="23"/>
      <c r="G46" s="23"/>
      <c r="H46" s="23"/>
    </row>
  </sheetData>
  <mergeCells count="15">
    <mergeCell ref="B1:H2"/>
    <mergeCell ref="B3:H3"/>
    <mergeCell ref="B4:H4"/>
    <mergeCell ref="B35:E35"/>
    <mergeCell ref="D37:E37"/>
    <mergeCell ref="D44:E44"/>
    <mergeCell ref="D45:E45"/>
    <mergeCell ref="D46:E46"/>
    <mergeCell ref="D39:E39"/>
    <mergeCell ref="D36:E36"/>
    <mergeCell ref="D40:E40"/>
    <mergeCell ref="D41:E41"/>
    <mergeCell ref="D42:E42"/>
    <mergeCell ref="D43:E43"/>
    <mergeCell ref="D38:E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06F3-8EDC-4217-887D-4E5F3FE19FEA}">
  <dimension ref="A1:H2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5" sqref="C1:C1048576"/>
    </sheetView>
  </sheetViews>
  <sheetFormatPr defaultRowHeight="15" x14ac:dyDescent="0.25"/>
  <cols>
    <col min="1" max="1" width="2.28515625" customWidth="1"/>
    <col min="2" max="2" width="34.85546875" bestFit="1" customWidth="1"/>
    <col min="3" max="5" width="17.140625" customWidth="1"/>
    <col min="12" max="12" width="9.140625" customWidth="1"/>
  </cols>
  <sheetData>
    <row r="1" spans="1:8" ht="15" customHeight="1" x14ac:dyDescent="0.25">
      <c r="A1" s="106"/>
      <c r="B1" s="107" t="s">
        <v>21</v>
      </c>
      <c r="C1" s="107"/>
      <c r="D1" s="107"/>
      <c r="E1" s="107"/>
    </row>
    <row r="2" spans="1:8" ht="15" customHeight="1" x14ac:dyDescent="0.25">
      <c r="A2" s="106"/>
      <c r="B2" s="107"/>
      <c r="C2" s="107"/>
      <c r="D2" s="107"/>
      <c r="E2" s="107"/>
    </row>
    <row r="3" spans="1:8" ht="15.75" customHeight="1" x14ac:dyDescent="0.25">
      <c r="A3" s="106"/>
      <c r="B3" s="108" t="s">
        <v>39</v>
      </c>
      <c r="C3" s="108"/>
      <c r="D3" s="108"/>
      <c r="E3" s="108"/>
    </row>
    <row r="4" spans="1:8" ht="15" customHeight="1" x14ac:dyDescent="0.25">
      <c r="A4" s="106"/>
      <c r="B4" s="109" t="s">
        <v>19</v>
      </c>
      <c r="C4" s="109"/>
      <c r="D4" s="109"/>
      <c r="E4" s="109"/>
    </row>
    <row r="5" spans="1:8" x14ac:dyDescent="0.25">
      <c r="A5" s="106"/>
      <c r="B5" s="3" t="s">
        <v>0</v>
      </c>
      <c r="C5" s="3">
        <v>2024</v>
      </c>
      <c r="D5" s="3">
        <v>2025</v>
      </c>
      <c r="E5" s="3">
        <v>2026</v>
      </c>
    </row>
    <row r="6" spans="1:8" x14ac:dyDescent="0.25">
      <c r="A6" s="106"/>
    </row>
    <row r="7" spans="1:8" x14ac:dyDescent="0.25">
      <c r="A7" s="106"/>
      <c r="B7" s="23" t="s">
        <v>1</v>
      </c>
      <c r="C7" s="29">
        <v>283649.02</v>
      </c>
      <c r="D7" s="29">
        <v>336367.43</v>
      </c>
      <c r="E7" s="29">
        <v>348615.15</v>
      </c>
    </row>
    <row r="8" spans="1:8" x14ac:dyDescent="0.25">
      <c r="A8" s="106"/>
      <c r="B8" s="23" t="s">
        <v>3</v>
      </c>
      <c r="C8" s="29">
        <v>154138.54999999999</v>
      </c>
      <c r="D8" s="29">
        <v>183894.2</v>
      </c>
      <c r="E8" s="29">
        <v>185491.23</v>
      </c>
    </row>
    <row r="9" spans="1:8" x14ac:dyDescent="0.25">
      <c r="A9" s="106"/>
      <c r="B9" s="25" t="s">
        <v>9</v>
      </c>
      <c r="C9" s="30">
        <f t="shared" ref="C9" si="0">C7-C8</f>
        <v>129510.47000000003</v>
      </c>
      <c r="D9" s="30">
        <f>D7-D8</f>
        <v>152473.22999999998</v>
      </c>
      <c r="E9" s="30">
        <f>E7-E8</f>
        <v>163123.92000000001</v>
      </c>
    </row>
    <row r="10" spans="1:8" x14ac:dyDescent="0.25">
      <c r="A10" s="106"/>
      <c r="B10" s="23" t="s">
        <v>2</v>
      </c>
      <c r="C10" s="29">
        <v>124345.75</v>
      </c>
      <c r="D10" s="29">
        <v>134548.5</v>
      </c>
      <c r="E10" s="29">
        <v>146847.66</v>
      </c>
    </row>
    <row r="11" spans="1:8" x14ac:dyDescent="0.25">
      <c r="A11" s="106"/>
      <c r="B11" s="25" t="s">
        <v>8</v>
      </c>
      <c r="C11" s="30">
        <f t="shared" ref="C11" si="1">C9+C10</f>
        <v>253856.22000000003</v>
      </c>
      <c r="D11" s="30">
        <f>D9+D10</f>
        <v>287021.73</v>
      </c>
      <c r="E11" s="30">
        <f>E9+E10</f>
        <v>309971.58</v>
      </c>
    </row>
    <row r="12" spans="1:8" x14ac:dyDescent="0.25">
      <c r="A12" s="106"/>
      <c r="B12" s="23"/>
      <c r="C12" s="23"/>
      <c r="D12" s="23"/>
      <c r="E12" s="23"/>
    </row>
    <row r="13" spans="1:8" x14ac:dyDescent="0.25">
      <c r="A13" s="106"/>
      <c r="B13" s="23" t="s">
        <v>4</v>
      </c>
      <c r="C13" s="29">
        <v>152269.34</v>
      </c>
      <c r="D13" s="29">
        <v>176605.07</v>
      </c>
      <c r="E13" s="29">
        <v>181173.91</v>
      </c>
    </row>
    <row r="14" spans="1:8" x14ac:dyDescent="0.25">
      <c r="A14" s="106"/>
      <c r="B14" s="25" t="s">
        <v>10</v>
      </c>
      <c r="C14" s="30">
        <f t="shared" ref="C14:D14" si="2">C11-C13</f>
        <v>101586.88000000003</v>
      </c>
      <c r="D14" s="30">
        <f t="shared" si="2"/>
        <v>110416.65999999997</v>
      </c>
      <c r="E14" s="30">
        <f>E11-E13</f>
        <v>128797.67000000001</v>
      </c>
    </row>
    <row r="15" spans="1:8" x14ac:dyDescent="0.25">
      <c r="A15" s="106"/>
      <c r="B15" s="23"/>
      <c r="C15" s="29"/>
      <c r="D15" s="29"/>
      <c r="E15" s="29"/>
    </row>
    <row r="16" spans="1:8" x14ac:dyDescent="0.25">
      <c r="A16" s="106"/>
      <c r="B16" s="23" t="s">
        <v>11</v>
      </c>
      <c r="C16" s="29">
        <v>26057.360000000001</v>
      </c>
      <c r="D16" s="29">
        <v>15845.79</v>
      </c>
      <c r="E16" s="29">
        <v>29080.81</v>
      </c>
      <c r="F16" s="1"/>
      <c r="G16" s="1"/>
      <c r="H16" s="1"/>
    </row>
    <row r="17" spans="1:5" x14ac:dyDescent="0.25">
      <c r="A17" s="106"/>
      <c r="B17" s="25" t="s">
        <v>5</v>
      </c>
      <c r="C17" s="30">
        <f t="shared" ref="C17:D17" si="3">C14-C16</f>
        <v>75529.520000000033</v>
      </c>
      <c r="D17" s="30">
        <f t="shared" si="3"/>
        <v>94570.869999999966</v>
      </c>
      <c r="E17" s="30">
        <f>E14-E16</f>
        <v>99716.860000000015</v>
      </c>
    </row>
    <row r="18" spans="1:5" x14ac:dyDescent="0.25">
      <c r="A18" s="106"/>
      <c r="B18" s="23" t="s">
        <v>6</v>
      </c>
      <c r="C18" s="29">
        <v>10083.02</v>
      </c>
      <c r="D18" s="29">
        <v>21130.7</v>
      </c>
      <c r="E18" s="31">
        <v>20497.400000000001</v>
      </c>
    </row>
    <row r="19" spans="1:5" x14ac:dyDescent="0.25">
      <c r="A19" s="106"/>
      <c r="B19" s="25" t="s">
        <v>7</v>
      </c>
      <c r="C19" s="30">
        <f t="shared" ref="C19:D19" si="4">C17-C18</f>
        <v>65446.500000000029</v>
      </c>
      <c r="D19" s="30">
        <f t="shared" si="4"/>
        <v>73440.169999999969</v>
      </c>
      <c r="E19" s="30">
        <f>E17-E18</f>
        <v>79219.460000000021</v>
      </c>
    </row>
    <row r="20" spans="1:5" x14ac:dyDescent="0.25">
      <c r="A20" s="106"/>
      <c r="B20" s="23" t="s">
        <v>13</v>
      </c>
      <c r="C20" s="29">
        <v>1384.46</v>
      </c>
      <c r="D20" s="29">
        <v>2647.92</v>
      </c>
      <c r="E20" s="29">
        <v>3193.49</v>
      </c>
    </row>
    <row r="21" spans="1:5" x14ac:dyDescent="0.25">
      <c r="A21" s="106"/>
      <c r="B21" s="25" t="s">
        <v>14</v>
      </c>
      <c r="C21" s="30">
        <f>C19-C20</f>
        <v>64062.04000000003</v>
      </c>
      <c r="D21" s="30">
        <f t="shared" ref="D21:E21" si="5">D19-D20</f>
        <v>70792.249999999971</v>
      </c>
      <c r="E21" s="30">
        <f t="shared" si="5"/>
        <v>76025.970000000016</v>
      </c>
    </row>
    <row r="22" spans="1:5" x14ac:dyDescent="0.25">
      <c r="A22" s="106"/>
      <c r="B22" s="23"/>
      <c r="C22" s="23"/>
      <c r="D22" s="23"/>
      <c r="E22" s="23"/>
    </row>
    <row r="23" spans="1:5" x14ac:dyDescent="0.25">
      <c r="A23" s="106"/>
      <c r="B23" s="25" t="s">
        <v>15</v>
      </c>
      <c r="C23" s="30">
        <f>(C21)/C24</f>
        <v>45.21000000095345</v>
      </c>
      <c r="D23" s="30">
        <f t="shared" ref="D23:E23" si="6">(D21)/D24</f>
        <v>46.404148834040605</v>
      </c>
      <c r="E23" s="30">
        <f t="shared" si="6"/>
        <v>49.504253413988344</v>
      </c>
    </row>
    <row r="24" spans="1:5" x14ac:dyDescent="0.25">
      <c r="A24" s="106"/>
      <c r="B24" s="23" t="s">
        <v>16</v>
      </c>
      <c r="C24" s="31">
        <v>1416.9882769000001</v>
      </c>
      <c r="D24" s="31">
        <v>1525.558636</v>
      </c>
      <c r="E24" s="31">
        <v>1535.7462189</v>
      </c>
    </row>
    <row r="25" spans="1:5" x14ac:dyDescent="0.25">
      <c r="A25" s="106"/>
      <c r="B25" s="25" t="s">
        <v>17</v>
      </c>
      <c r="C25" s="30">
        <f>(C21)/C26</f>
        <v>45.004999999548296</v>
      </c>
      <c r="D25" s="30">
        <f t="shared" ref="D25:E25" si="7">(D21)/D26</f>
        <v>46.19715603446943</v>
      </c>
      <c r="E25" s="30">
        <f t="shared" si="7"/>
        <v>49.278067614515372</v>
      </c>
    </row>
    <row r="26" spans="1:5" x14ac:dyDescent="0.25">
      <c r="A26" s="106"/>
      <c r="B26" s="23" t="s">
        <v>18</v>
      </c>
      <c r="C26" s="31">
        <v>1423.4427286</v>
      </c>
      <c r="D26" s="31">
        <v>1532.3941142000001</v>
      </c>
      <c r="E26" s="31">
        <v>1542.7952775000001</v>
      </c>
    </row>
  </sheetData>
  <mergeCells count="4">
    <mergeCell ref="A1:A26"/>
    <mergeCell ref="B1:E2"/>
    <mergeCell ref="B3:E3"/>
    <mergeCell ref="B4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CD95-0EF8-481C-BEE9-5A763997868D}">
  <dimension ref="A1:H32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4" sqref="F34"/>
    </sheetView>
  </sheetViews>
  <sheetFormatPr defaultRowHeight="15" x14ac:dyDescent="0.25"/>
  <cols>
    <col min="1" max="1" width="2.28515625" customWidth="1"/>
    <col min="2" max="2" width="34.85546875" bestFit="1" customWidth="1"/>
    <col min="3" max="5" width="17.140625" customWidth="1"/>
    <col min="12" max="12" width="9.140625" customWidth="1"/>
  </cols>
  <sheetData>
    <row r="1" spans="1:8" ht="15" customHeight="1" x14ac:dyDescent="0.25">
      <c r="A1" s="106"/>
      <c r="B1" s="107" t="s">
        <v>21</v>
      </c>
      <c r="C1" s="107"/>
      <c r="D1" s="107"/>
      <c r="E1" s="107"/>
    </row>
    <row r="2" spans="1:8" ht="15" customHeight="1" x14ac:dyDescent="0.25">
      <c r="A2" s="106"/>
      <c r="B2" s="107"/>
      <c r="C2" s="107"/>
      <c r="D2" s="107"/>
      <c r="E2" s="107"/>
    </row>
    <row r="3" spans="1:8" ht="15.75" x14ac:dyDescent="0.25">
      <c r="A3" s="106"/>
      <c r="B3" s="108" t="s">
        <v>38</v>
      </c>
      <c r="C3" s="108"/>
      <c r="D3" s="108"/>
      <c r="E3" s="108"/>
    </row>
    <row r="4" spans="1:8" x14ac:dyDescent="0.25">
      <c r="A4" s="106"/>
      <c r="B4" s="109" t="s">
        <v>19</v>
      </c>
      <c r="C4" s="109"/>
      <c r="D4" s="109"/>
      <c r="E4" s="109"/>
    </row>
    <row r="5" spans="1:8" x14ac:dyDescent="0.25">
      <c r="A5" s="106"/>
      <c r="B5" s="3" t="s">
        <v>0</v>
      </c>
      <c r="C5" s="3">
        <v>2024</v>
      </c>
      <c r="D5" s="3">
        <v>2025</v>
      </c>
      <c r="E5" s="3">
        <v>2026</v>
      </c>
    </row>
    <row r="6" spans="1:8" x14ac:dyDescent="0.25">
      <c r="A6" s="106"/>
    </row>
    <row r="7" spans="1:8" x14ac:dyDescent="0.25">
      <c r="A7" s="106"/>
      <c r="B7" s="27" t="s">
        <v>22</v>
      </c>
      <c r="C7" s="28"/>
      <c r="D7" s="28"/>
      <c r="E7" s="28"/>
    </row>
    <row r="8" spans="1:8" x14ac:dyDescent="0.25">
      <c r="A8" s="106"/>
      <c r="B8" s="23" t="s">
        <v>23</v>
      </c>
      <c r="C8" s="29">
        <v>759.69</v>
      </c>
      <c r="D8" s="29">
        <v>765.22</v>
      </c>
      <c r="E8" s="29">
        <v>1539.34</v>
      </c>
    </row>
    <row r="9" spans="1:8" x14ac:dyDescent="0.25">
      <c r="A9" s="106"/>
      <c r="B9" s="29" t="s">
        <v>24</v>
      </c>
      <c r="C9" s="29">
        <v>452982.84</v>
      </c>
      <c r="D9" s="29">
        <v>517218.98</v>
      </c>
      <c r="E9" s="29">
        <v>579975.02</v>
      </c>
      <c r="G9" s="1"/>
    </row>
    <row r="10" spans="1:8" x14ac:dyDescent="0.25">
      <c r="A10" s="106"/>
      <c r="B10" s="23" t="s">
        <v>37</v>
      </c>
      <c r="C10" s="29">
        <v>16036.12</v>
      </c>
      <c r="D10" s="29">
        <v>20164.23</v>
      </c>
      <c r="E10" s="29">
        <v>26930.07</v>
      </c>
    </row>
    <row r="11" spans="1:8" x14ac:dyDescent="0.25">
      <c r="A11" s="106"/>
      <c r="B11" s="29"/>
      <c r="C11" s="29"/>
      <c r="D11" s="29"/>
      <c r="E11" s="29"/>
    </row>
    <row r="12" spans="1:8" x14ac:dyDescent="0.25">
      <c r="A12" s="106"/>
      <c r="B12" s="23" t="s">
        <v>25</v>
      </c>
      <c r="C12" s="29">
        <v>2376887.2799999998</v>
      </c>
      <c r="D12" s="29">
        <v>2710898.23</v>
      </c>
      <c r="E12" s="29">
        <v>3099638.29</v>
      </c>
    </row>
    <row r="13" spans="1:8" x14ac:dyDescent="0.25">
      <c r="A13" s="106"/>
      <c r="B13" s="29" t="s">
        <v>26</v>
      </c>
      <c r="C13" s="29">
        <v>730615.46</v>
      </c>
      <c r="D13" s="29">
        <v>634605.56999999995</v>
      </c>
      <c r="E13" s="29">
        <v>588484.55000000005</v>
      </c>
    </row>
    <row r="14" spans="1:8" x14ac:dyDescent="0.25">
      <c r="A14" s="106"/>
      <c r="B14" s="29" t="s">
        <v>27</v>
      </c>
      <c r="C14" s="29">
        <v>452912.87</v>
      </c>
      <c r="D14" s="29">
        <v>508765.19</v>
      </c>
      <c r="E14" s="29">
        <v>611473.56999999995</v>
      </c>
    </row>
    <row r="15" spans="1:8" x14ac:dyDescent="0.25">
      <c r="A15" s="106"/>
      <c r="B15" s="30" t="s">
        <v>28</v>
      </c>
      <c r="C15" s="30">
        <f t="shared" ref="C15:D15" si="0">SUM(C8:C14)</f>
        <v>4030194.26</v>
      </c>
      <c r="D15" s="30">
        <f t="shared" si="0"/>
        <v>4392417.42</v>
      </c>
      <c r="E15" s="30">
        <f>SUM(E8:E14)</f>
        <v>4908040.84</v>
      </c>
    </row>
    <row r="16" spans="1:8" x14ac:dyDescent="0.25">
      <c r="A16" s="106"/>
      <c r="B16" s="23"/>
      <c r="C16" s="29"/>
      <c r="D16" s="29"/>
      <c r="E16" s="29"/>
      <c r="F16" s="1"/>
      <c r="G16" s="1"/>
      <c r="H16" s="1"/>
    </row>
    <row r="17" spans="1:5" x14ac:dyDescent="0.25">
      <c r="A17" s="106"/>
      <c r="B17" s="28" t="s">
        <v>29</v>
      </c>
      <c r="C17" s="28"/>
      <c r="D17" s="28"/>
      <c r="E17" s="28"/>
    </row>
    <row r="18" spans="1:5" x14ac:dyDescent="0.25">
      <c r="A18" s="106"/>
      <c r="B18" s="29" t="s">
        <v>30</v>
      </c>
      <c r="C18" s="29">
        <v>178718.67</v>
      </c>
      <c r="D18" s="29">
        <v>144390.25</v>
      </c>
      <c r="E18" s="29">
        <v>200707.11</v>
      </c>
    </row>
    <row r="19" spans="1:5" x14ac:dyDescent="0.25">
      <c r="A19" s="106"/>
      <c r="B19" s="23" t="s">
        <v>31</v>
      </c>
      <c r="C19" s="29">
        <v>50115.839999999997</v>
      </c>
      <c r="D19" s="29">
        <v>105557.65</v>
      </c>
      <c r="E19" s="29">
        <v>111218.94</v>
      </c>
    </row>
    <row r="20" spans="1:5" x14ac:dyDescent="0.25">
      <c r="A20" s="106"/>
      <c r="B20" s="29" t="s">
        <v>32</v>
      </c>
      <c r="C20" s="29">
        <v>1005681.63</v>
      </c>
      <c r="D20" s="29">
        <v>1186472.8899999999</v>
      </c>
      <c r="E20" s="29">
        <v>1280216.29</v>
      </c>
    </row>
    <row r="21" spans="1:5" x14ac:dyDescent="0.25">
      <c r="A21" s="106"/>
      <c r="B21" s="29" t="s">
        <v>33</v>
      </c>
      <c r="C21" s="29">
        <v>2571916.65</v>
      </c>
      <c r="D21" s="29">
        <v>2724938.16</v>
      </c>
      <c r="E21" s="29">
        <v>3050783.23</v>
      </c>
    </row>
    <row r="22" spans="1:5" x14ac:dyDescent="0.25">
      <c r="A22" s="106"/>
      <c r="B22" s="29" t="s">
        <v>34</v>
      </c>
      <c r="C22" s="29">
        <v>12603.76</v>
      </c>
      <c r="D22" s="29">
        <v>15257.94</v>
      </c>
      <c r="E22" s="29">
        <v>16491.59</v>
      </c>
    </row>
    <row r="23" spans="1:5" x14ac:dyDescent="0.25">
      <c r="A23" s="106"/>
      <c r="B23" s="29" t="s">
        <v>35</v>
      </c>
      <c r="C23" s="29">
        <v>211157.71</v>
      </c>
      <c r="D23" s="29">
        <v>215800.53</v>
      </c>
      <c r="E23" s="29">
        <v>248623.68</v>
      </c>
    </row>
    <row r="24" spans="1:5" x14ac:dyDescent="0.25">
      <c r="A24" s="106"/>
      <c r="B24" s="30" t="s">
        <v>36</v>
      </c>
      <c r="C24" s="30">
        <f t="shared" ref="C24:D24" si="1">SUM(C17:C23)</f>
        <v>4030194.26</v>
      </c>
      <c r="D24" s="30">
        <f t="shared" si="1"/>
        <v>4392417.42</v>
      </c>
      <c r="E24" s="30">
        <f>SUM(E17:E23)</f>
        <v>4908040.84</v>
      </c>
    </row>
    <row r="25" spans="1:5" x14ac:dyDescent="0.25">
      <c r="A25" s="106"/>
    </row>
    <row r="26" spans="1:5" x14ac:dyDescent="0.25">
      <c r="A26" s="106"/>
      <c r="B26" s="29" t="s">
        <v>259</v>
      </c>
      <c r="C26" s="29">
        <v>402231.82</v>
      </c>
      <c r="D26" s="29">
        <v>458210.41</v>
      </c>
      <c r="E26" s="29">
        <v>514070.42</v>
      </c>
    </row>
    <row r="27" spans="1:5" x14ac:dyDescent="0.25">
      <c r="B27" s="29" t="s">
        <v>256</v>
      </c>
      <c r="C27" s="29">
        <v>414281.32</v>
      </c>
      <c r="D27" s="29">
        <v>470466.91</v>
      </c>
      <c r="E27" s="29">
        <v>527282.92000000004</v>
      </c>
    </row>
    <row r="28" spans="1:5" x14ac:dyDescent="0.25">
      <c r="B28" s="29" t="s">
        <v>257</v>
      </c>
      <c r="C28" s="29">
        <v>49721.5</v>
      </c>
      <c r="D28" s="29">
        <v>49575.61</v>
      </c>
      <c r="E28" s="29">
        <v>58933.47</v>
      </c>
    </row>
    <row r="29" spans="1:5" x14ac:dyDescent="0.25">
      <c r="B29" s="30" t="s">
        <v>260</v>
      </c>
      <c r="C29" s="30">
        <f t="shared" ref="C29:D29" si="2">C27+C28</f>
        <v>464002.82</v>
      </c>
      <c r="D29" s="30">
        <f t="shared" si="2"/>
        <v>520042.51999999996</v>
      </c>
      <c r="E29" s="30">
        <f>E27+E28</f>
        <v>586216.39</v>
      </c>
    </row>
    <row r="30" spans="1:5" x14ac:dyDescent="0.25">
      <c r="B30" s="29" t="s">
        <v>258</v>
      </c>
      <c r="C30" s="29">
        <v>2468028.06</v>
      </c>
      <c r="D30" s="29">
        <v>2660003.89</v>
      </c>
      <c r="E30" s="29">
        <v>2974116.57</v>
      </c>
    </row>
    <row r="32" spans="1:5" x14ac:dyDescent="0.25">
      <c r="B32" s="29" t="s">
        <v>270</v>
      </c>
      <c r="C32" s="55">
        <v>213527</v>
      </c>
      <c r="D32" s="55">
        <v>214521</v>
      </c>
      <c r="E32" s="55">
        <v>211178</v>
      </c>
    </row>
  </sheetData>
  <mergeCells count="4">
    <mergeCell ref="A1:A26"/>
    <mergeCell ref="B1:E2"/>
    <mergeCell ref="B3:E3"/>
    <mergeCell ref="B4:E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15" sqref="D15"/>
    </sheetView>
  </sheetViews>
  <sheetFormatPr defaultRowHeight="15" x14ac:dyDescent="0.25"/>
  <cols>
    <col min="1" max="1" width="2.28515625" customWidth="1"/>
    <col min="2" max="2" width="92" bestFit="1" customWidth="1"/>
    <col min="3" max="5" width="17.140625" customWidth="1"/>
    <col min="12" max="12" width="9.140625" customWidth="1"/>
  </cols>
  <sheetData>
    <row r="1" spans="1:8" ht="15" customHeight="1" x14ac:dyDescent="0.25">
      <c r="A1" s="106"/>
      <c r="B1" s="107" t="s">
        <v>21</v>
      </c>
      <c r="C1" s="107"/>
      <c r="D1" s="107"/>
      <c r="E1" s="107"/>
    </row>
    <row r="2" spans="1:8" ht="15" customHeight="1" x14ac:dyDescent="0.25">
      <c r="A2" s="106"/>
      <c r="B2" s="107"/>
      <c r="C2" s="107"/>
      <c r="D2" s="107"/>
      <c r="E2" s="107"/>
    </row>
    <row r="3" spans="1:8" ht="15.75" x14ac:dyDescent="0.25">
      <c r="A3" s="106"/>
      <c r="B3" s="108" t="s">
        <v>40</v>
      </c>
      <c r="C3" s="108"/>
      <c r="D3" s="108"/>
      <c r="E3" s="108"/>
    </row>
    <row r="4" spans="1:8" x14ac:dyDescent="0.25">
      <c r="A4" s="106"/>
      <c r="B4" s="109" t="s">
        <v>19</v>
      </c>
      <c r="C4" s="109"/>
      <c r="D4" s="109"/>
      <c r="E4" s="109"/>
    </row>
    <row r="5" spans="1:8" x14ac:dyDescent="0.25">
      <c r="A5" s="106"/>
      <c r="B5" s="3" t="s">
        <v>0</v>
      </c>
      <c r="C5" s="3">
        <v>2024</v>
      </c>
      <c r="D5" s="3">
        <v>2025</v>
      </c>
      <c r="E5" s="3">
        <v>2026</v>
      </c>
    </row>
    <row r="6" spans="1:8" x14ac:dyDescent="0.25">
      <c r="A6" s="106"/>
    </row>
    <row r="7" spans="1:8" x14ac:dyDescent="0.25">
      <c r="A7" s="106"/>
      <c r="B7" s="32" t="s">
        <v>41</v>
      </c>
      <c r="C7" s="23"/>
      <c r="D7" s="23"/>
      <c r="E7" s="23"/>
    </row>
    <row r="8" spans="1:8" x14ac:dyDescent="0.25">
      <c r="A8" s="106"/>
      <c r="B8" s="25" t="s">
        <v>61</v>
      </c>
      <c r="C8" s="30">
        <f>'HDFC IS'!C21+'HDFC IS'!C18+'HDFC IS'!C20-345.38</f>
        <v>75184.140000000029</v>
      </c>
      <c r="D8" s="30">
        <f>'HDFC IS'!D21+'HDFC IS'!D18+'HDFC IS'!D20-976.74</f>
        <v>93594.129999999961</v>
      </c>
      <c r="E8" s="30">
        <f>'HDFC IS'!E21+'HDFC IS'!E18+'HDFC IS'!E20-768.9</f>
        <v>98947.960000000036</v>
      </c>
    </row>
    <row r="9" spans="1:8" x14ac:dyDescent="0.25">
      <c r="A9" s="106"/>
      <c r="B9" s="23" t="s">
        <v>42</v>
      </c>
      <c r="C9" s="29">
        <v>3092.08</v>
      </c>
      <c r="D9" s="29">
        <v>3805.23</v>
      </c>
      <c r="E9" s="29">
        <v>4194.8999999999996</v>
      </c>
      <c r="G9" s="1"/>
    </row>
    <row r="10" spans="1:8" x14ac:dyDescent="0.25">
      <c r="A10" s="106"/>
      <c r="B10" s="23" t="s">
        <v>44</v>
      </c>
      <c r="C10" s="29">
        <v>13342.18</v>
      </c>
      <c r="D10" s="29">
        <v>20242.8</v>
      </c>
      <c r="E10" s="29">
        <v>30402.47</v>
      </c>
    </row>
    <row r="11" spans="1:8" x14ac:dyDescent="0.25">
      <c r="A11" s="106"/>
      <c r="B11" s="23" t="s">
        <v>43</v>
      </c>
      <c r="C11" s="29">
        <v>-22842.84</v>
      </c>
      <c r="D11" s="29">
        <v>29308.36</v>
      </c>
      <c r="E11" s="29">
        <v>-22656.37</v>
      </c>
    </row>
    <row r="12" spans="1:8" x14ac:dyDescent="0.25">
      <c r="A12" s="106"/>
      <c r="B12" s="23" t="s">
        <v>45</v>
      </c>
      <c r="C12" s="29">
        <v>-49706.22</v>
      </c>
      <c r="D12" s="29">
        <v>-19708.68</v>
      </c>
      <c r="E12" s="29">
        <v>2617.42</v>
      </c>
    </row>
    <row r="13" spans="1:8" x14ac:dyDescent="0.25">
      <c r="A13" s="106"/>
      <c r="B13" s="23"/>
      <c r="C13" s="23"/>
      <c r="D13" s="23"/>
      <c r="E13" s="23"/>
    </row>
    <row r="14" spans="1:8" x14ac:dyDescent="0.25">
      <c r="A14" s="106"/>
      <c r="B14" s="25" t="s">
        <v>46</v>
      </c>
      <c r="C14" s="30">
        <f>C8+C9+C1+C10+C11+C12</f>
        <v>19069.340000000026</v>
      </c>
      <c r="D14" s="30">
        <f>D8+D9+D1+D10+D11+D12</f>
        <v>127241.83999999997</v>
      </c>
      <c r="E14" s="30">
        <f>E8+E9+E1+E10+E11+E12</f>
        <v>113506.38000000002</v>
      </c>
    </row>
    <row r="15" spans="1:8" x14ac:dyDescent="0.25">
      <c r="A15" s="106"/>
      <c r="B15" s="23"/>
      <c r="C15" s="23"/>
      <c r="D15" s="23"/>
      <c r="E15" s="23"/>
    </row>
    <row r="16" spans="1:8" x14ac:dyDescent="0.25">
      <c r="A16" s="106"/>
      <c r="B16" s="32" t="s">
        <v>47</v>
      </c>
      <c r="C16" s="23"/>
      <c r="D16" s="23"/>
      <c r="E16" s="23"/>
      <c r="F16" s="1"/>
      <c r="G16" s="1"/>
      <c r="H16" s="1"/>
    </row>
    <row r="17" spans="1:5" x14ac:dyDescent="0.25">
      <c r="A17" s="106"/>
      <c r="B17" s="23" t="s">
        <v>49</v>
      </c>
      <c r="C17" s="34" t="s">
        <v>62</v>
      </c>
      <c r="D17" s="33" t="s">
        <v>62</v>
      </c>
      <c r="E17" s="34" t="s">
        <v>62</v>
      </c>
    </row>
    <row r="18" spans="1:5" x14ac:dyDescent="0.25">
      <c r="A18" s="106"/>
      <c r="B18" s="23" t="s">
        <v>48</v>
      </c>
      <c r="C18" s="29">
        <v>9500.67</v>
      </c>
      <c r="D18" s="29">
        <v>192</v>
      </c>
      <c r="E18" s="29">
        <v>9806</v>
      </c>
    </row>
    <row r="19" spans="1:5" x14ac:dyDescent="0.25">
      <c r="A19" s="106"/>
      <c r="B19" s="23" t="s">
        <v>63</v>
      </c>
      <c r="C19" s="29">
        <v>-4186.8999999999996</v>
      </c>
      <c r="D19" s="29">
        <v>-3975.17</v>
      </c>
      <c r="E19" s="29">
        <v>-3362.41</v>
      </c>
    </row>
    <row r="20" spans="1:5" x14ac:dyDescent="0.25">
      <c r="A20" s="106"/>
      <c r="B20" s="23" t="s">
        <v>51</v>
      </c>
      <c r="C20" s="34" t="s">
        <v>62</v>
      </c>
      <c r="D20" s="29">
        <v>-67.47</v>
      </c>
      <c r="E20" s="29">
        <v>-80.87</v>
      </c>
    </row>
    <row r="21" spans="1:5" x14ac:dyDescent="0.25">
      <c r="A21" s="106"/>
      <c r="B21" s="25" t="s">
        <v>52</v>
      </c>
      <c r="C21" s="30">
        <f>SUM(C17:C20)</f>
        <v>5313.77</v>
      </c>
      <c r="D21" s="30">
        <f t="shared" ref="D21:E21" si="0">SUM(D17:D20)</f>
        <v>-3850.64</v>
      </c>
      <c r="E21" s="30">
        <f t="shared" si="0"/>
        <v>6362.72</v>
      </c>
    </row>
    <row r="22" spans="1:5" x14ac:dyDescent="0.25">
      <c r="A22" s="106"/>
      <c r="B22" s="23"/>
      <c r="C22" s="23"/>
      <c r="D22" s="23"/>
      <c r="E22" s="23"/>
    </row>
    <row r="23" spans="1:5" x14ac:dyDescent="0.25">
      <c r="A23" s="106"/>
      <c r="B23" s="32" t="s">
        <v>53</v>
      </c>
      <c r="C23" s="23"/>
      <c r="D23" s="23"/>
      <c r="E23" s="23"/>
    </row>
    <row r="24" spans="1:5" x14ac:dyDescent="0.25">
      <c r="A24" s="106"/>
      <c r="B24" s="23" t="s">
        <v>54</v>
      </c>
      <c r="C24" s="31">
        <v>-8404.42</v>
      </c>
      <c r="D24" s="29">
        <v>-14826.19</v>
      </c>
      <c r="E24" s="29">
        <v>-20705.98</v>
      </c>
    </row>
    <row r="25" spans="1:5" x14ac:dyDescent="0.25">
      <c r="A25" s="106"/>
      <c r="B25" s="29" t="s">
        <v>55</v>
      </c>
      <c r="C25" s="29">
        <v>4421.3599999999997</v>
      </c>
      <c r="D25" s="29">
        <v>-87651.35</v>
      </c>
      <c r="E25" s="29">
        <v>-38298.870000000003</v>
      </c>
    </row>
    <row r="26" spans="1:5" x14ac:dyDescent="0.25">
      <c r="A26" s="106"/>
      <c r="B26" s="25" t="s">
        <v>56</v>
      </c>
      <c r="C26" s="35">
        <f t="shared" ref="C26:D26" si="1">SUM(C24:C25)</f>
        <v>-3983.0600000000004</v>
      </c>
      <c r="D26" s="35">
        <f t="shared" si="1"/>
        <v>-102477.54000000001</v>
      </c>
      <c r="E26" s="35">
        <f>SUM(E24:E25)</f>
        <v>-59004.850000000006</v>
      </c>
    </row>
    <row r="27" spans="1:5" x14ac:dyDescent="0.25">
      <c r="B27" s="23"/>
      <c r="C27" s="23"/>
      <c r="D27" s="23"/>
      <c r="E27" s="23"/>
    </row>
    <row r="28" spans="1:5" x14ac:dyDescent="0.25">
      <c r="B28" s="23" t="s">
        <v>58</v>
      </c>
      <c r="C28" s="23">
        <v>104.94</v>
      </c>
      <c r="D28" s="23">
        <v>199.73</v>
      </c>
      <c r="E28" s="31">
        <v>1113.9000000000001</v>
      </c>
    </row>
    <row r="29" spans="1:5" x14ac:dyDescent="0.25">
      <c r="B29" s="25" t="s">
        <v>57</v>
      </c>
      <c r="C29" s="35">
        <f t="shared" ref="C29:D29" si="2">C14+C21+C26+C28</f>
        <v>20504.990000000023</v>
      </c>
      <c r="D29" s="35">
        <f t="shared" si="2"/>
        <v>21113.389999999959</v>
      </c>
      <c r="E29" s="35">
        <f>E14+E21+E26+E28</f>
        <v>61978.150000000016</v>
      </c>
    </row>
    <row r="30" spans="1:5" x14ac:dyDescent="0.25">
      <c r="B30" s="23"/>
      <c r="C30" s="23"/>
      <c r="D30" s="23"/>
      <c r="E30" s="23"/>
    </row>
    <row r="31" spans="1:5" x14ac:dyDescent="0.25">
      <c r="B31" s="27" t="s">
        <v>59</v>
      </c>
      <c r="C31" s="28">
        <v>208329.52</v>
      </c>
      <c r="D31" s="28">
        <f>'HDFC BS'!C18+'HDFC BS'!C19</f>
        <v>228834.51</v>
      </c>
      <c r="E31" s="28">
        <f>'HDFC BS'!D18+'HDFC BS'!D19</f>
        <v>249947.9</v>
      </c>
    </row>
    <row r="32" spans="1:5" x14ac:dyDescent="0.25">
      <c r="B32" s="27" t="s">
        <v>60</v>
      </c>
      <c r="C32" s="36">
        <f>C29+C31</f>
        <v>228834.51</v>
      </c>
      <c r="D32" s="36">
        <f>D31+D29</f>
        <v>249947.89999999997</v>
      </c>
      <c r="E32" s="36">
        <f>E31+E29</f>
        <v>311926.05</v>
      </c>
    </row>
  </sheetData>
  <mergeCells count="4">
    <mergeCell ref="A1:A26"/>
    <mergeCell ref="B1:E2"/>
    <mergeCell ref="B3:E3"/>
    <mergeCell ref="B4:E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BB31-FD7F-4905-969C-CB2D00DD9E13}">
  <dimension ref="B1:N36"/>
  <sheetViews>
    <sheetView topLeftCell="A3" workbookViewId="0">
      <selection activeCell="K17" sqref="K17"/>
    </sheetView>
  </sheetViews>
  <sheetFormatPr defaultRowHeight="15" x14ac:dyDescent="0.25"/>
  <cols>
    <col min="1" max="1" width="2.28515625" customWidth="1"/>
    <col min="2" max="2" width="20.7109375" customWidth="1"/>
    <col min="3" max="3" width="33" bestFit="1" customWidth="1"/>
    <col min="4" max="4" width="17.140625" customWidth="1"/>
    <col min="5" max="5" width="17.28515625" customWidth="1"/>
    <col min="6" max="6" width="17.140625" customWidth="1"/>
    <col min="9" max="9" width="24" customWidth="1"/>
    <col min="10" max="10" width="33" bestFit="1" customWidth="1"/>
    <col min="11" max="11" width="17" customWidth="1"/>
    <col min="12" max="13" width="17.140625" customWidth="1"/>
    <col min="14" max="14" width="185.140625" bestFit="1" customWidth="1"/>
  </cols>
  <sheetData>
    <row r="1" spans="2:14" ht="15" customHeight="1" x14ac:dyDescent="0.25">
      <c r="B1" s="116" t="s">
        <v>20</v>
      </c>
      <c r="C1" s="116"/>
      <c r="D1" s="116"/>
      <c r="E1" s="116"/>
      <c r="F1" s="116"/>
      <c r="G1" s="119" t="s">
        <v>64</v>
      </c>
      <c r="H1" s="21"/>
      <c r="I1" s="116" t="s">
        <v>21</v>
      </c>
      <c r="J1" s="116"/>
      <c r="K1" s="116"/>
      <c r="L1" s="116"/>
      <c r="M1" s="116"/>
    </row>
    <row r="2" spans="2:14" ht="15" customHeight="1" x14ac:dyDescent="0.25">
      <c r="B2" s="116"/>
      <c r="C2" s="116"/>
      <c r="D2" s="116"/>
      <c r="E2" s="116"/>
      <c r="F2" s="116"/>
      <c r="G2" s="119"/>
      <c r="H2" s="21"/>
      <c r="I2" s="116"/>
      <c r="J2" s="116"/>
      <c r="K2" s="116"/>
      <c r="L2" s="116"/>
      <c r="M2" s="116"/>
    </row>
    <row r="3" spans="2:14" ht="15.75" x14ac:dyDescent="0.25">
      <c r="B3" s="117" t="s">
        <v>140</v>
      </c>
      <c r="C3" s="117"/>
      <c r="D3" s="117"/>
      <c r="E3" s="117"/>
      <c r="F3" s="117"/>
      <c r="G3" s="119"/>
      <c r="H3" s="21"/>
      <c r="I3" s="117" t="s">
        <v>140</v>
      </c>
      <c r="J3" s="117"/>
      <c r="K3" s="117"/>
      <c r="L3" s="117"/>
      <c r="M3" s="117"/>
    </row>
    <row r="4" spans="2:14" x14ac:dyDescent="0.25">
      <c r="B4" s="118" t="s">
        <v>19</v>
      </c>
      <c r="C4" s="118"/>
      <c r="D4" s="118"/>
      <c r="E4" s="118"/>
      <c r="F4" s="118"/>
      <c r="G4" s="119"/>
      <c r="H4" s="21"/>
      <c r="I4" s="118" t="s">
        <v>19</v>
      </c>
      <c r="J4" s="118"/>
      <c r="K4" s="118"/>
      <c r="L4" s="118"/>
      <c r="M4" s="118"/>
    </row>
    <row r="5" spans="2:14" x14ac:dyDescent="0.25">
      <c r="B5" s="87" t="s">
        <v>228</v>
      </c>
      <c r="C5" s="87" t="s">
        <v>227</v>
      </c>
      <c r="D5" s="87">
        <v>2024</v>
      </c>
      <c r="E5" s="87">
        <v>2025</v>
      </c>
      <c r="F5" s="87">
        <v>2026</v>
      </c>
      <c r="G5" s="119"/>
      <c r="H5" s="21"/>
      <c r="I5" s="87" t="s">
        <v>228</v>
      </c>
      <c r="J5" s="87" t="s">
        <v>227</v>
      </c>
      <c r="K5" s="87">
        <v>2024</v>
      </c>
      <c r="L5" s="87">
        <v>2025</v>
      </c>
      <c r="M5" s="87">
        <v>2026</v>
      </c>
      <c r="N5" s="22" t="s">
        <v>275</v>
      </c>
    </row>
    <row r="6" spans="2:14" x14ac:dyDescent="0.25">
      <c r="B6" s="23" t="s">
        <v>229</v>
      </c>
      <c r="C6" s="23" t="s">
        <v>230</v>
      </c>
      <c r="D6" s="57">
        <f>'SBI IS'!C22/'SBI BS'!C24</f>
        <v>9.9624096358776615E-3</v>
      </c>
      <c r="E6" s="57">
        <f>'SBI IS'!D22/'SBI BS'!D24</f>
        <v>1.0604234454840412E-2</v>
      </c>
      <c r="F6" s="57">
        <f>'SBI IS'!E22/'SBI BS'!E24</f>
        <v>1.0009986069003584E-2</v>
      </c>
      <c r="G6" s="21"/>
      <c r="H6" s="21"/>
      <c r="I6" s="23" t="s">
        <v>229</v>
      </c>
      <c r="J6" s="23" t="s">
        <v>230</v>
      </c>
      <c r="K6" s="57">
        <f>'HDFC IS'!C21/'HDFC BS'!C24</f>
        <v>1.589552162182873E-2</v>
      </c>
      <c r="L6" s="57">
        <f>'HDFC IS'!D21/'HDFC BS'!D24</f>
        <v>1.6116922239143648E-2</v>
      </c>
      <c r="M6" s="57">
        <f>'HDFC IS'!E21/'HDFC BS'!E24</f>
        <v>1.549008504175365E-2</v>
      </c>
      <c r="N6" s="68" t="s">
        <v>287</v>
      </c>
    </row>
    <row r="7" spans="2:14" x14ac:dyDescent="0.25">
      <c r="B7" s="23" t="s">
        <v>229</v>
      </c>
      <c r="C7" s="23" t="s">
        <v>231</v>
      </c>
      <c r="D7" s="57">
        <f>'SBI IS'!C22/('SBI BS'!C8+'SBI BS'!C9+'SBI BS'!C10)</f>
        <v>0.15580896823690973</v>
      </c>
      <c r="E7" s="57">
        <f>'SBI IS'!D22/('SBI BS'!D8+'SBI BS'!D9+'SBI BS'!D10)</f>
        <v>0.15356776879523337</v>
      </c>
      <c r="F7" s="57">
        <f>'SBI IS'!E22/('SBI BS'!E8+'SBI BS'!E9+'SBI BS'!E10)</f>
        <v>0.13546739375018726</v>
      </c>
      <c r="G7" s="23"/>
      <c r="H7" s="23"/>
      <c r="I7" s="23" t="s">
        <v>229</v>
      </c>
      <c r="J7" s="23" t="s">
        <v>231</v>
      </c>
      <c r="K7" s="57">
        <f>'HDFC IS'!C21/('HDFC BS'!C8+'HDFC BS'!C9+'HDFC BS'!C10)</f>
        <v>0.13636643555427652</v>
      </c>
      <c r="L7" s="57">
        <f>'HDFC IS'!D21/('HDFC BS'!D8+'HDFC BS'!D9+'HDFC BS'!D10)</f>
        <v>0.13154781479154362</v>
      </c>
      <c r="M7" s="57">
        <f>'HDFC IS'!E21/('HDFC BS'!E8+'HDFC BS'!E9+'HDFC BS'!E10)</f>
        <v>0.12495137805764781</v>
      </c>
      <c r="N7" s="68" t="s">
        <v>288</v>
      </c>
    </row>
    <row r="8" spans="2:14" x14ac:dyDescent="0.25">
      <c r="B8" s="23" t="s">
        <v>229</v>
      </c>
      <c r="C8" s="23" t="s">
        <v>232</v>
      </c>
      <c r="D8" s="57">
        <f>'SBI IS'!C9/('SBI BS'!C21+'SBI BS'!C20)</f>
        <v>3.0442394663694125E-2</v>
      </c>
      <c r="E8" s="57">
        <f>'SBI IS'!D9/('SBI BS'!D21+'SBI BS'!D20)</f>
        <v>2.9330343470666525E-2</v>
      </c>
      <c r="F8" s="57">
        <f>'SBI IS'!E9/('SBI BS'!E21+'SBI BS'!E20)</f>
        <v>2.7247340781965071E-2</v>
      </c>
      <c r="G8" s="23"/>
      <c r="H8" s="23"/>
      <c r="I8" s="23" t="s">
        <v>229</v>
      </c>
      <c r="J8" s="23" t="s">
        <v>232</v>
      </c>
      <c r="K8" s="57">
        <f>'HDFC IS'!C9/('HDFC BS'!C21+'HDFC BS'!C20)</f>
        <v>3.6200394751978705E-2</v>
      </c>
      <c r="L8" s="57">
        <f>'HDFC IS'!D9/('HDFC BS'!D21+'HDFC BS'!D20)</f>
        <v>3.8981643210319196E-2</v>
      </c>
      <c r="M8" s="57">
        <f>'HDFC IS'!E9/('HDFC BS'!E21+'HDFC BS'!E20)</f>
        <v>3.7664266469371495E-2</v>
      </c>
      <c r="N8" s="68" t="s">
        <v>289</v>
      </c>
    </row>
    <row r="9" spans="2:14" x14ac:dyDescent="0.25">
      <c r="B9" s="23" t="s">
        <v>229</v>
      </c>
      <c r="C9" s="23" t="s">
        <v>233</v>
      </c>
      <c r="D9" s="57">
        <f>'SBI IS'!C22/'SBI IS'!C11</f>
        <v>0.2003490978354685</v>
      </c>
      <c r="E9" s="57">
        <f>'SBI IS'!D22/'SBI IS'!D11</f>
        <v>0.21402135770138608</v>
      </c>
      <c r="F9" s="57">
        <f>'SBI IS'!E22/'SBI IS'!E11</f>
        <v>0.20948358720964513</v>
      </c>
      <c r="G9" s="23"/>
      <c r="H9" s="23"/>
      <c r="I9" s="23" t="s">
        <v>229</v>
      </c>
      <c r="J9" s="23" t="s">
        <v>233</v>
      </c>
      <c r="K9" s="57">
        <f>'HDFC IS'!C21/'HDFC IS'!C11</f>
        <v>0.25235560507440008</v>
      </c>
      <c r="L9" s="57">
        <f>'HDFC IS'!D21/'HDFC IS'!D11</f>
        <v>0.2466442174953094</v>
      </c>
      <c r="M9" s="57">
        <f>'HDFC IS'!E21/'HDFC IS'!E11</f>
        <v>0.24526755001216566</v>
      </c>
      <c r="N9" s="68" t="s">
        <v>290</v>
      </c>
    </row>
    <row r="10" spans="2:14" x14ac:dyDescent="0.25">
      <c r="B10" s="23" t="s">
        <v>229</v>
      </c>
      <c r="C10" s="23" t="s">
        <v>234</v>
      </c>
      <c r="D10" s="57">
        <f>'SBI IS'!C13/'SBI IS'!C11</f>
        <v>0.70449959522678629</v>
      </c>
      <c r="E10" s="57">
        <f>'SBI IS'!D13/'SBI IS'!D11</f>
        <v>0.65279671712213361</v>
      </c>
      <c r="F10" s="57">
        <f>'SBI IS'!E13/'SBI IS'!E11</f>
        <v>0.66052533398645741</v>
      </c>
      <c r="G10" s="23"/>
      <c r="H10" s="23"/>
      <c r="I10" s="23" t="s">
        <v>229</v>
      </c>
      <c r="J10" s="23" t="s">
        <v>234</v>
      </c>
      <c r="K10" s="57">
        <f>'HDFC IS'!C13/'HDFC IS'!C11</f>
        <v>0.59982512935865817</v>
      </c>
      <c r="L10" s="57">
        <f>'HDFC IS'!D13/'HDFC IS'!D11</f>
        <v>0.61530208880003623</v>
      </c>
      <c r="M10" s="57">
        <f>'HDFC IS'!E13/'HDFC IS'!E11</f>
        <v>0.58448555186898099</v>
      </c>
      <c r="N10" s="68" t="s">
        <v>291</v>
      </c>
    </row>
    <row r="11" spans="2:14" x14ac:dyDescent="0.25">
      <c r="B11" s="23" t="s">
        <v>229</v>
      </c>
      <c r="C11" s="23" t="s">
        <v>235</v>
      </c>
      <c r="D11" s="57">
        <f>'SBI IS'!C14/'SBI IS'!C11</f>
        <v>0.29550040477321377</v>
      </c>
      <c r="E11" s="57">
        <f>'SBI IS'!D14/'SBI IS'!D11</f>
        <v>0.34720328287786634</v>
      </c>
      <c r="F11" s="57">
        <f>'SBI IS'!E14/'SBI IS'!E11</f>
        <v>0.33947466601354254</v>
      </c>
      <c r="G11" s="23"/>
      <c r="H11" s="23"/>
      <c r="I11" s="23" t="s">
        <v>229</v>
      </c>
      <c r="J11" s="23" t="s">
        <v>235</v>
      </c>
      <c r="K11" s="57">
        <f>'HDFC IS'!C14/'HDFC IS'!C11</f>
        <v>0.40017487064134188</v>
      </c>
      <c r="L11" s="57">
        <f>'HDFC IS'!D14/'HDFC IS'!D11</f>
        <v>0.38469791119996377</v>
      </c>
      <c r="M11" s="57">
        <f>'HDFC IS'!E14/'HDFC IS'!E11</f>
        <v>0.41551444813101901</v>
      </c>
      <c r="N11" s="68" t="s">
        <v>292</v>
      </c>
    </row>
    <row r="12" spans="2:14" x14ac:dyDescent="0.25">
      <c r="B12" s="23" t="s">
        <v>229</v>
      </c>
      <c r="C12" s="23" t="s">
        <v>237</v>
      </c>
      <c r="D12" s="57">
        <f>'SBI IS'!C13/'SBI BS'!C24</f>
        <v>3.5031420813898644E-2</v>
      </c>
      <c r="E12" s="57">
        <f>'SBI IS'!D13/'SBI BS'!D24</f>
        <v>3.2344479607365875E-2</v>
      </c>
      <c r="F12" s="57">
        <f>'SBI IS'!E13/'SBI BS'!E24</f>
        <v>3.1562612992737375E-2</v>
      </c>
      <c r="G12" s="23"/>
      <c r="H12" s="23"/>
      <c r="I12" s="23" t="s">
        <v>229</v>
      </c>
      <c r="J12" s="23" t="s">
        <v>237</v>
      </c>
      <c r="K12" s="57">
        <f>'HDFC IS'!C13/'HDFC BS'!C24</f>
        <v>3.778213410487067E-2</v>
      </c>
      <c r="L12" s="57">
        <f>'HDFC IS'!D13/'HDFC BS'!D24</f>
        <v>4.0206804844153454E-2</v>
      </c>
      <c r="M12" s="57">
        <f>'HDFC IS'!E13/'HDFC BS'!E24</f>
        <v>3.6913692429666092E-2</v>
      </c>
      <c r="N12" s="68" t="s">
        <v>293</v>
      </c>
    </row>
    <row r="13" spans="2:14" x14ac:dyDescent="0.25">
      <c r="B13" s="23" t="s">
        <v>236</v>
      </c>
      <c r="C13" s="23" t="s">
        <v>238</v>
      </c>
      <c r="D13" s="57">
        <f>'SBI BS'!C21/'SBI BS'!C12</f>
        <v>0.76195391261074941</v>
      </c>
      <c r="E13" s="57">
        <f>'SBI BS'!D21/'SBI BS'!D12</f>
        <v>0.78141735774330134</v>
      </c>
      <c r="F13" s="57">
        <f>'SBI BS'!E21/'SBI BS'!E12</f>
        <v>0.82375197777617282</v>
      </c>
      <c r="G13" s="23"/>
      <c r="H13" s="23"/>
      <c r="I13" s="23" t="s">
        <v>236</v>
      </c>
      <c r="J13" s="23" t="s">
        <v>238</v>
      </c>
      <c r="K13" s="57">
        <f>'HDFC BS'!C21/'HDFC BS'!C12</f>
        <v>1.0820524269876188</v>
      </c>
      <c r="L13" s="57">
        <f>'HDFC BS'!D21/'HDFC BS'!D12</f>
        <v>1.0051790693743601</v>
      </c>
      <c r="M13" s="57">
        <f>'HDFC BS'!E21/'HDFC BS'!E12</f>
        <v>0.9842384641596359</v>
      </c>
      <c r="N13" s="68" t="s">
        <v>294</v>
      </c>
    </row>
    <row r="14" spans="2:14" x14ac:dyDescent="0.25">
      <c r="B14" s="23" t="s">
        <v>236</v>
      </c>
      <c r="C14" s="23" t="s">
        <v>239</v>
      </c>
      <c r="D14" s="57">
        <f>('SBI BS'!C18+'SBI BS'!C19+'SBI BS'!C20)/'SBI BS'!C24</f>
        <v>0.36192464912993244</v>
      </c>
      <c r="E14" s="57">
        <f>('SBI BS'!D18+'SBI BS'!D19+'SBI BS'!D20)/'SBI BS'!D24</f>
        <v>0.35048798077348275</v>
      </c>
      <c r="F14" s="57">
        <f>('SBI BS'!E18+'SBI BS'!E19+'SBI BS'!E20)/'SBI BS'!E24</f>
        <v>0.33182991356475888</v>
      </c>
      <c r="G14" s="23"/>
      <c r="H14" s="23"/>
      <c r="I14" s="23" t="s">
        <v>236</v>
      </c>
      <c r="J14" s="23" t="s">
        <v>239</v>
      </c>
      <c r="K14" s="57">
        <f>('HDFC BS'!C18+'HDFC BS'!C19+'HDFC BS'!C20)/'HDFC BS'!C24</f>
        <v>0.30631678285403546</v>
      </c>
      <c r="L14" s="57">
        <f>('HDFC BS'!D18+'HDFC BS'!D19+'HDFC BS'!D20)/'HDFC BS'!D24</f>
        <v>0.32702283336268162</v>
      </c>
      <c r="M14" s="57">
        <f>('HDFC BS'!E18+'HDFC BS'!E19+'HDFC BS'!E20)/'HDFC BS'!E24</f>
        <v>0.32439468046480235</v>
      </c>
      <c r="N14" s="68" t="s">
        <v>295</v>
      </c>
    </row>
    <row r="15" spans="2:14" x14ac:dyDescent="0.25">
      <c r="B15" s="23" t="s">
        <v>236</v>
      </c>
      <c r="C15" s="23" t="s">
        <v>240</v>
      </c>
      <c r="D15" s="57">
        <f>('SBI BS'!C18+'SBI BS'!C19+'SBI BS'!C20)/'SBI BS'!C12</f>
        <v>0.49070817157447505</v>
      </c>
      <c r="E15" s="57">
        <f>('SBI BS'!D18+'SBI BS'!D19+'SBI BS'!D20)/'SBI BS'!D12</f>
        <v>0.47124671127037898</v>
      </c>
      <c r="F15" s="57">
        <f>('SBI BS'!E18+'SBI BS'!E19+'SBI BS'!E20)/'SBI BS'!E12</f>
        <v>0.45694208194697394</v>
      </c>
      <c r="G15" s="23"/>
      <c r="H15" s="23"/>
      <c r="I15" s="23" t="s">
        <v>236</v>
      </c>
      <c r="J15" s="23" t="s">
        <v>240</v>
      </c>
      <c r="K15" s="57">
        <f>('HDFC BS'!C18+'HDFC BS'!C19+'HDFC BS'!C20)/'HDFC BS'!C12</f>
        <v>0.51938354434712619</v>
      </c>
      <c r="L15" s="57">
        <f>('HDFC BS'!D18+'HDFC BS'!D19+'HDFC BS'!D20)/'HDFC BS'!D12</f>
        <v>0.52986894679554231</v>
      </c>
      <c r="M15" s="57">
        <f>('HDFC BS'!E18+'HDFC BS'!E19+'HDFC BS'!E20)/'HDFC BS'!E12</f>
        <v>0.51365423673353838</v>
      </c>
      <c r="N15" s="68" t="s">
        <v>296</v>
      </c>
    </row>
    <row r="16" spans="2:14" x14ac:dyDescent="0.25">
      <c r="B16" s="23" t="s">
        <v>236</v>
      </c>
      <c r="C16" s="23" t="s">
        <v>241</v>
      </c>
      <c r="D16" s="57">
        <f>'SBI BS'!C18/'SBI BS'!C12</f>
        <v>4.5374939116194973E-2</v>
      </c>
      <c r="E16" s="57">
        <f>'SBI BS'!D18/'SBI BS'!D12</f>
        <v>4.1817908369873799E-2</v>
      </c>
      <c r="F16" s="57">
        <f>'SBI BS'!E18/'SBI BS'!E12</f>
        <v>4.4460933084509061E-2</v>
      </c>
      <c r="G16" s="23"/>
      <c r="H16" s="23"/>
      <c r="I16" s="23" t="s">
        <v>236</v>
      </c>
      <c r="J16" s="23" t="s">
        <v>241</v>
      </c>
      <c r="K16" s="57">
        <f>'HDFC BS'!C18/'HDFC BS'!C12</f>
        <v>7.5190216845285165E-2</v>
      </c>
      <c r="L16" s="57">
        <f>'HDFC BS'!D18/'HDFC BS'!D12</f>
        <v>5.3262881063594926E-2</v>
      </c>
      <c r="M16" s="57">
        <f>'HDFC BS'!E18/'HDFC BS'!E12</f>
        <v>6.4751784312226959E-2</v>
      </c>
      <c r="N16" s="68" t="s">
        <v>297</v>
      </c>
    </row>
    <row r="17" spans="2:14" x14ac:dyDescent="0.25">
      <c r="B17" s="23" t="s">
        <v>236</v>
      </c>
      <c r="C17" s="23" t="s">
        <v>242</v>
      </c>
      <c r="D17" s="57">
        <f>'SBI BS'!C18/'SBI BS'!C24</f>
        <v>3.3466548694774466E-2</v>
      </c>
      <c r="E17" s="57">
        <f>'SBI BS'!D18/'SBI BS'!D24</f>
        <v>3.1101913104531542E-2</v>
      </c>
      <c r="F17" s="57">
        <f>'SBI BS'!E18/'SBI BS'!E24</f>
        <v>3.228739082112652E-2</v>
      </c>
      <c r="G17" s="23"/>
      <c r="H17" s="23"/>
      <c r="I17" s="23" t="s">
        <v>236</v>
      </c>
      <c r="J17" s="23" t="s">
        <v>242</v>
      </c>
      <c r="K17" s="57">
        <f>'HDFC BS'!C18/'HDFC BS'!C24</f>
        <v>4.434492693659884E-2</v>
      </c>
      <c r="L17" s="57">
        <f>'HDFC BS'!D18/'HDFC BS'!D24</f>
        <v>3.287261573605179E-2</v>
      </c>
      <c r="M17" s="57">
        <f>'HDFC BS'!E18/'HDFC BS'!E24</f>
        <v>4.0893528913667307E-2</v>
      </c>
      <c r="N17" s="68" t="s">
        <v>298</v>
      </c>
    </row>
    <row r="18" spans="2:14" x14ac:dyDescent="0.25">
      <c r="B18" s="23" t="s">
        <v>247</v>
      </c>
      <c r="C18" s="23" t="s">
        <v>248</v>
      </c>
      <c r="D18" s="63" t="s">
        <v>62</v>
      </c>
      <c r="E18" s="57">
        <f>('SBI BS'!D21-'SBI BS'!C21)/'SBI BS'!C21</f>
        <v>0.12328870208984055</v>
      </c>
      <c r="F18" s="57">
        <f>('SBI BS'!E21-'SBI BS'!D21)/'SBI BS'!D21</f>
        <v>0.17106831946356113</v>
      </c>
      <c r="G18" s="23"/>
      <c r="H18" s="23"/>
      <c r="I18" s="23" t="s">
        <v>247</v>
      </c>
      <c r="J18" s="23" t="s">
        <v>248</v>
      </c>
      <c r="K18" s="63" t="s">
        <v>62</v>
      </c>
      <c r="L18" s="57">
        <f>('HDFC BS'!D21-'HDFC BS'!C21)/'HDFC BS'!C21</f>
        <v>5.9497071959933166E-2</v>
      </c>
      <c r="M18" s="57">
        <f>('HDFC BS'!E21-'HDFC BS'!D21)/'HDFC BS'!D21</f>
        <v>0.11957888614984195</v>
      </c>
      <c r="N18" s="68" t="s">
        <v>299</v>
      </c>
    </row>
    <row r="19" spans="2:14" x14ac:dyDescent="0.25">
      <c r="B19" s="23" t="s">
        <v>247</v>
      </c>
      <c r="C19" s="23" t="s">
        <v>249</v>
      </c>
      <c r="D19" s="63" t="s">
        <v>62</v>
      </c>
      <c r="E19" s="57">
        <f>('SBI BS'!D12-'SBI BS'!C12)/'SBI BS'!C12</f>
        <v>9.5309968568639131E-2</v>
      </c>
      <c r="F19" s="57">
        <f>('SBI BS'!E12-'SBI BS'!D12)/'SBI BS'!D12</f>
        <v>0.11088426689125395</v>
      </c>
      <c r="G19" s="23"/>
      <c r="H19" s="23"/>
      <c r="I19" s="23" t="s">
        <v>247</v>
      </c>
      <c r="J19" s="23" t="s">
        <v>249</v>
      </c>
      <c r="K19" s="63" t="s">
        <v>62</v>
      </c>
      <c r="L19" s="57">
        <f>('HDFC BS'!D12-'HDFC BS'!C12)/'HDFC BS'!C12</f>
        <v>0.14052452247546221</v>
      </c>
      <c r="M19" s="57">
        <f>('HDFC BS'!E12-'HDFC BS'!D12)/'HDFC BS'!D12</f>
        <v>0.1433989869844727</v>
      </c>
      <c r="N19" s="68" t="s">
        <v>300</v>
      </c>
    </row>
    <row r="20" spans="2:14" x14ac:dyDescent="0.25">
      <c r="B20" s="23" t="s">
        <v>247</v>
      </c>
      <c r="C20" s="23" t="s">
        <v>250</v>
      </c>
      <c r="D20" s="63" t="s">
        <v>62</v>
      </c>
      <c r="E20" s="57">
        <f>('SBI IS'!D9-'SBI IS'!C9)/'SBI IS'!C9</f>
        <v>5.5261985084516067E-2</v>
      </c>
      <c r="F20" s="57">
        <f>('SBI IS'!E9-'SBI IS'!D9)/'SBI IS'!D9</f>
        <v>5.5755684020263367E-2</v>
      </c>
      <c r="G20" s="23"/>
      <c r="H20" s="23"/>
      <c r="I20" s="23" t="s">
        <v>247</v>
      </c>
      <c r="J20" s="23" t="s">
        <v>250</v>
      </c>
      <c r="K20" s="63" t="s">
        <v>62</v>
      </c>
      <c r="L20" s="57">
        <f>('HDFC IS'!D9-'HDFC IS'!C9)/'HDFC IS'!C9</f>
        <v>0.17730427509065441</v>
      </c>
      <c r="M20" s="57">
        <f>('HDFC IS'!E9-'HDFC IS'!D9)/'HDFC IS'!D9</f>
        <v>6.9852852202317961E-2</v>
      </c>
      <c r="N20" s="68" t="s">
        <v>301</v>
      </c>
    </row>
    <row r="21" spans="2:14" x14ac:dyDescent="0.25">
      <c r="B21" s="23" t="s">
        <v>247</v>
      </c>
      <c r="C21" s="23" t="s">
        <v>251</v>
      </c>
      <c r="D21" s="63" t="s">
        <v>62</v>
      </c>
      <c r="E21" s="57">
        <f>('SBI IS'!D22-'SBI IS'!C22)/'SBI IS'!C22</f>
        <v>0.15617091839954855</v>
      </c>
      <c r="F21" s="57">
        <f>('SBI IS'!E22-'SBI IS'!D22)/'SBI IS'!D22</f>
        <v>7.3973059014937476E-2</v>
      </c>
      <c r="G21" s="23"/>
      <c r="H21" s="23"/>
      <c r="I21" s="23" t="s">
        <v>247</v>
      </c>
      <c r="J21" s="23" t="s">
        <v>251</v>
      </c>
      <c r="K21" s="63" t="s">
        <v>62</v>
      </c>
      <c r="L21" s="57">
        <f>('HDFC IS'!D21-'HDFC IS'!C21)/'HDFC IS'!C21</f>
        <v>0.10505769095083356</v>
      </c>
      <c r="M21" s="57">
        <f>('HDFC IS'!E21-'HDFC IS'!D21)/'HDFC IS'!D21</f>
        <v>7.3930691565814721E-2</v>
      </c>
      <c r="N21" s="68" t="s">
        <v>302</v>
      </c>
    </row>
    <row r="22" spans="2:14" x14ac:dyDescent="0.25">
      <c r="B22" s="23" t="s">
        <v>247</v>
      </c>
      <c r="C22" s="23" t="s">
        <v>252</v>
      </c>
      <c r="D22" s="63" t="s">
        <v>62</v>
      </c>
      <c r="E22" s="57">
        <f>('SBI BS'!D24-'SBI BS'!C24)/'SBI BS'!C24</f>
        <v>8.6193288844869403E-2</v>
      </c>
      <c r="F22" s="57">
        <f>('SBI BS'!E24-'SBI BS'!D24)/'SBI BS'!D24</f>
        <v>0.13773006650250091</v>
      </c>
      <c r="G22" s="23"/>
      <c r="H22" s="23"/>
      <c r="I22" s="23" t="s">
        <v>247</v>
      </c>
      <c r="J22" s="23" t="s">
        <v>252</v>
      </c>
      <c r="K22" s="63" t="s">
        <v>62</v>
      </c>
      <c r="L22" s="57">
        <f>('HDFC BS'!D24-'HDFC BS'!C24)/'HDFC BS'!C24</f>
        <v>8.9877345019095972E-2</v>
      </c>
      <c r="M22" s="57">
        <f>('HDFC BS'!E24-'HDFC BS'!D24)/'HDFC BS'!D24</f>
        <v>0.11738943973134501</v>
      </c>
      <c r="N22" s="68" t="s">
        <v>303</v>
      </c>
    </row>
    <row r="23" spans="2:14" x14ac:dyDescent="0.25">
      <c r="B23" s="23" t="s">
        <v>247</v>
      </c>
      <c r="C23" s="23" t="s">
        <v>253</v>
      </c>
      <c r="D23" s="63" t="s">
        <v>62</v>
      </c>
      <c r="E23" s="57">
        <f>('SBI IS'!D11-'SBI IS'!C11)/'SBI IS'!C11</f>
        <v>8.2311611012896871E-2</v>
      </c>
      <c r="F23" s="57">
        <f>('SBI IS'!E11-'SBI IS'!D11)/'SBI IS'!D11</f>
        <v>9.723714056441729E-2</v>
      </c>
      <c r="I23" s="23" t="s">
        <v>247</v>
      </c>
      <c r="J23" s="23" t="s">
        <v>253</v>
      </c>
      <c r="K23" s="63" t="s">
        <v>62</v>
      </c>
      <c r="L23" s="57">
        <f>('HDFC IS'!D11-'HDFC IS'!C11)/'HDFC IS'!C11</f>
        <v>0.13064682835031557</v>
      </c>
      <c r="M23" s="57">
        <f>('HDFC IS'!E11-'HDFC IS'!D11)/'HDFC IS'!D11</f>
        <v>7.9958580139559601E-2</v>
      </c>
      <c r="N23" s="68" t="s">
        <v>304</v>
      </c>
    </row>
    <row r="24" spans="2:14" x14ac:dyDescent="0.25">
      <c r="B24" s="23" t="s">
        <v>247</v>
      </c>
      <c r="C24" s="23" t="s">
        <v>254</v>
      </c>
      <c r="D24" s="63" t="s">
        <v>62</v>
      </c>
      <c r="E24" s="57">
        <f>('SBI IS'!D14-'SBI IS'!C14)/'SBI IS'!C14</f>
        <v>0.27168064195685204</v>
      </c>
      <c r="F24" s="57">
        <f>('SBI IS'!E14-'SBI IS'!D14)/'SBI IS'!D14</f>
        <v>7.2813046994681108E-2</v>
      </c>
      <c r="I24" s="23" t="s">
        <v>247</v>
      </c>
      <c r="J24" s="23" t="s">
        <v>254</v>
      </c>
      <c r="K24" s="63" t="s">
        <v>62</v>
      </c>
      <c r="L24" s="57">
        <f>('HDFC IS'!D14-'HDFC IS'!C14)/'HDFC IS'!C14</f>
        <v>8.6918507586805874E-2</v>
      </c>
      <c r="M24" s="57">
        <f>('HDFC IS'!E14-'HDFC IS'!D14)/'HDFC IS'!D14</f>
        <v>0.16646953457929303</v>
      </c>
      <c r="N24" s="68" t="s">
        <v>305</v>
      </c>
    </row>
    <row r="25" spans="2:14" x14ac:dyDescent="0.25">
      <c r="B25" s="23" t="s">
        <v>247</v>
      </c>
      <c r="C25" s="23" t="s">
        <v>255</v>
      </c>
      <c r="D25" s="63" t="s">
        <v>62</v>
      </c>
      <c r="E25" s="57">
        <f>('SBI BS'!D20-'SBI BS'!C20)/'SBI BS'!C20</f>
        <v>4.5037057781262803E-2</v>
      </c>
      <c r="F25" s="57">
        <f>('SBI BS'!E20-'SBI BS'!D20)/'SBI BS'!D20</f>
        <v>6.977737833955916E-2</v>
      </c>
      <c r="I25" s="23" t="s">
        <v>247</v>
      </c>
      <c r="J25" s="23" t="s">
        <v>255</v>
      </c>
      <c r="K25" s="63" t="s">
        <v>62</v>
      </c>
      <c r="L25" s="57">
        <f>('HDFC BS'!D20-'HDFC BS'!C20)/'HDFC BS'!C20</f>
        <v>0.17976987409027237</v>
      </c>
      <c r="M25" s="57">
        <f>('HDFC BS'!E20-'HDFC BS'!D20)/'HDFC BS'!D20</f>
        <v>7.9010149148877856E-2</v>
      </c>
      <c r="N25" s="68" t="s">
        <v>306</v>
      </c>
    </row>
    <row r="26" spans="2:14" x14ac:dyDescent="0.25">
      <c r="B26" s="23" t="s">
        <v>243</v>
      </c>
      <c r="C26" s="23" t="s">
        <v>244</v>
      </c>
      <c r="D26" s="23">
        <v>2.2400000000000002</v>
      </c>
      <c r="E26" s="23">
        <v>1.82</v>
      </c>
      <c r="F26" s="23">
        <v>1.49</v>
      </c>
      <c r="I26" s="23" t="s">
        <v>243</v>
      </c>
      <c r="J26" s="23" t="s">
        <v>244</v>
      </c>
      <c r="K26" s="23">
        <v>1.24</v>
      </c>
      <c r="L26" s="23">
        <v>1.33</v>
      </c>
      <c r="M26" s="23">
        <v>1.1499999999999999</v>
      </c>
      <c r="N26" s="68" t="s">
        <v>273</v>
      </c>
    </row>
    <row r="27" spans="2:14" x14ac:dyDescent="0.25">
      <c r="B27" s="23" t="s">
        <v>243</v>
      </c>
      <c r="C27" s="23" t="s">
        <v>245</v>
      </c>
      <c r="D27" s="23">
        <v>0.56999999999999995</v>
      </c>
      <c r="E27" s="23">
        <v>0.47</v>
      </c>
      <c r="F27" s="23">
        <v>0.39</v>
      </c>
      <c r="I27" s="23" t="s">
        <v>243</v>
      </c>
      <c r="J27" s="23" t="s">
        <v>245</v>
      </c>
      <c r="K27" s="23">
        <v>0.33</v>
      </c>
      <c r="L27" s="23">
        <v>0.43</v>
      </c>
      <c r="M27" s="23">
        <v>0.38</v>
      </c>
      <c r="N27" s="68" t="s">
        <v>274</v>
      </c>
    </row>
    <row r="28" spans="2:14" x14ac:dyDescent="0.25">
      <c r="B28" s="23" t="s">
        <v>243</v>
      </c>
      <c r="C28" s="23" t="s">
        <v>246</v>
      </c>
      <c r="D28" s="23">
        <v>91.89</v>
      </c>
      <c r="E28" s="23">
        <v>92.08</v>
      </c>
      <c r="F28" s="23">
        <v>91.97</v>
      </c>
      <c r="I28" s="23" t="s">
        <v>243</v>
      </c>
      <c r="J28" s="23" t="s">
        <v>246</v>
      </c>
      <c r="K28" s="23">
        <v>74.040000000000006</v>
      </c>
      <c r="L28" s="23">
        <v>67.86</v>
      </c>
      <c r="M28" s="23">
        <v>67.209999999999994</v>
      </c>
      <c r="N28" s="68" t="s">
        <v>307</v>
      </c>
    </row>
    <row r="29" spans="2:14" x14ac:dyDescent="0.25">
      <c r="B29" s="23" t="s">
        <v>261</v>
      </c>
      <c r="C29" s="23" t="s">
        <v>262</v>
      </c>
      <c r="D29" s="23">
        <v>10.36</v>
      </c>
      <c r="E29" s="23">
        <v>10.81</v>
      </c>
      <c r="F29" s="23">
        <v>12.29</v>
      </c>
      <c r="I29" s="23" t="s">
        <v>261</v>
      </c>
      <c r="J29" s="23" t="s">
        <v>262</v>
      </c>
      <c r="K29" s="23">
        <v>16.3</v>
      </c>
      <c r="L29" s="23">
        <v>17.23</v>
      </c>
      <c r="M29" s="23">
        <v>17.28</v>
      </c>
      <c r="N29" s="68" t="s">
        <v>308</v>
      </c>
    </row>
    <row r="30" spans="2:14" x14ac:dyDescent="0.25">
      <c r="B30" s="23" t="s">
        <v>261</v>
      </c>
      <c r="C30" s="23" t="s">
        <v>263</v>
      </c>
      <c r="D30" s="23">
        <v>11.93</v>
      </c>
      <c r="E30" s="23">
        <v>12.11</v>
      </c>
      <c r="F30" s="23">
        <v>13.33</v>
      </c>
      <c r="I30" s="23" t="s">
        <v>261</v>
      </c>
      <c r="J30" s="23" t="s">
        <v>263</v>
      </c>
      <c r="K30" s="23">
        <v>16.79</v>
      </c>
      <c r="L30" s="23">
        <v>17.690000000000001</v>
      </c>
      <c r="M30" s="23">
        <v>17.73</v>
      </c>
      <c r="N30" s="68" t="s">
        <v>309</v>
      </c>
    </row>
    <row r="31" spans="2:14" x14ac:dyDescent="0.25">
      <c r="B31" s="23" t="s">
        <v>261</v>
      </c>
      <c r="C31" s="23" t="s">
        <v>265</v>
      </c>
      <c r="D31" s="23">
        <v>2.35</v>
      </c>
      <c r="E31" s="23">
        <v>2.14</v>
      </c>
      <c r="F31" s="23">
        <v>2.0699999999999998</v>
      </c>
      <c r="I31" s="23" t="s">
        <v>261</v>
      </c>
      <c r="J31" s="23" t="s">
        <v>265</v>
      </c>
      <c r="K31" s="23">
        <v>2.0099999999999998</v>
      </c>
      <c r="L31" s="23">
        <v>1.86</v>
      </c>
      <c r="M31" s="23">
        <v>1.98</v>
      </c>
      <c r="N31" s="68" t="s">
        <v>310</v>
      </c>
    </row>
    <row r="32" spans="2:14" x14ac:dyDescent="0.25">
      <c r="B32" s="23" t="s">
        <v>261</v>
      </c>
      <c r="C32" s="23" t="s">
        <v>264</v>
      </c>
      <c r="D32" s="23">
        <v>14.28</v>
      </c>
      <c r="E32" s="23">
        <v>14.25</v>
      </c>
      <c r="F32" s="23">
        <v>15.4</v>
      </c>
      <c r="I32" s="23" t="s">
        <v>261</v>
      </c>
      <c r="J32" s="23" t="s">
        <v>264</v>
      </c>
      <c r="K32" s="23">
        <f>'HDFC BS'!C29/'HDFC BS'!C30*100</f>
        <v>18.800548807374582</v>
      </c>
      <c r="L32" s="23">
        <f>'HDFC BS'!D29/'HDFC BS'!D30*100</f>
        <v>19.550442086007624</v>
      </c>
      <c r="M32" s="23">
        <f>'HDFC BS'!E29/'HDFC BS'!E30*100</f>
        <v>19.710605694248226</v>
      </c>
      <c r="N32" s="68" t="s">
        <v>311</v>
      </c>
    </row>
    <row r="33" spans="2:14" x14ac:dyDescent="0.25">
      <c r="B33" s="23" t="s">
        <v>261</v>
      </c>
      <c r="C33" s="23" t="s">
        <v>272</v>
      </c>
      <c r="D33" s="23">
        <v>5.67</v>
      </c>
      <c r="E33" s="23">
        <v>6.01</v>
      </c>
      <c r="F33" s="23">
        <v>6.25</v>
      </c>
      <c r="I33" s="23" t="s">
        <v>261</v>
      </c>
      <c r="J33" s="23" t="s">
        <v>272</v>
      </c>
      <c r="K33" s="23">
        <v>10.4</v>
      </c>
      <c r="L33" s="23">
        <v>10.91</v>
      </c>
      <c r="M33" s="23">
        <v>10.99</v>
      </c>
      <c r="N33" s="68" t="s">
        <v>312</v>
      </c>
    </row>
    <row r="34" spans="2:14" x14ac:dyDescent="0.25">
      <c r="B34" s="23" t="s">
        <v>266</v>
      </c>
      <c r="C34" s="23" t="s">
        <v>267</v>
      </c>
      <c r="D34" s="57">
        <f>'SBI IS'!C13/'SBI IS'!C11</f>
        <v>0.70449959522678629</v>
      </c>
      <c r="E34" s="57">
        <f>'SBI IS'!D13/'SBI IS'!D11</f>
        <v>0.65279671712213361</v>
      </c>
      <c r="F34" s="57">
        <f>'SBI IS'!E13/'SBI IS'!E11</f>
        <v>0.66052533398645741</v>
      </c>
      <c r="I34" s="23" t="s">
        <v>266</v>
      </c>
      <c r="J34" s="23" t="s">
        <v>267</v>
      </c>
      <c r="K34" s="57">
        <f>'HDFC IS'!C13/'HDFC IS'!C11</f>
        <v>0.59982512935865817</v>
      </c>
      <c r="L34" s="57">
        <f>'HDFC IS'!D13/'HDFC IS'!D11</f>
        <v>0.61530208880003623</v>
      </c>
      <c r="M34" s="57">
        <f>'HDFC IS'!E13/'HDFC IS'!E11</f>
        <v>0.58448555186898099</v>
      </c>
      <c r="N34" s="68" t="s">
        <v>313</v>
      </c>
    </row>
    <row r="35" spans="2:14" x14ac:dyDescent="0.25">
      <c r="B35" s="23" t="s">
        <v>266</v>
      </c>
      <c r="C35" s="23" t="s">
        <v>268</v>
      </c>
      <c r="D35" s="57">
        <f>'SBI IS'!C11/'SBI BS'!C24</f>
        <v>4.9725253287933605E-2</v>
      </c>
      <c r="E35" s="57">
        <f>'SBI IS'!D11/'SBI BS'!D24</f>
        <v>4.9547552490700489E-2</v>
      </c>
      <c r="F35" s="57">
        <f>'SBI IS'!E11/'SBI BS'!E24</f>
        <v>4.7784106632592076E-2</v>
      </c>
      <c r="I35" s="23" t="s">
        <v>266</v>
      </c>
      <c r="J35" s="23" t="s">
        <v>268</v>
      </c>
      <c r="K35" s="57">
        <f>'HDFC IS'!C11/'HDFC BS'!C24</f>
        <v>6.2988581597553078E-2</v>
      </c>
      <c r="L35" s="57">
        <f>'HDFC IS'!D11/'HDFC BS'!D24</f>
        <v>6.5344820984705038E-2</v>
      </c>
      <c r="M35" s="57">
        <f>'HDFC IS'!E11/'HDFC BS'!E24</f>
        <v>6.315586811620745E-2</v>
      </c>
      <c r="N35" s="68" t="s">
        <v>314</v>
      </c>
    </row>
    <row r="36" spans="2:14" x14ac:dyDescent="0.25">
      <c r="B36" s="23" t="s">
        <v>266</v>
      </c>
      <c r="C36" s="23" t="s">
        <v>271</v>
      </c>
      <c r="D36" s="65">
        <f>('SBI IS'!C22/'SBI BS'!C32)*100</f>
        <v>28.878957364741531</v>
      </c>
      <c r="E36" s="65">
        <f>('SBI IS'!D22/'SBI BS'!D32)*100</f>
        <v>32.833530686715271</v>
      </c>
      <c r="F36" s="65">
        <f>('SBI IS'!E22/'SBI BS'!E32)*100</f>
        <v>33.981334674113036</v>
      </c>
      <c r="I36" s="23" t="s">
        <v>266</v>
      </c>
      <c r="J36" s="23" t="s">
        <v>271</v>
      </c>
      <c r="K36" s="65">
        <f>('HDFC IS'!C21/'HDFC BS'!C32)*100</f>
        <v>30.001845199904476</v>
      </c>
      <c r="L36" s="65">
        <f>('HDFC IS'!D21/'HDFC BS'!D32)*100</f>
        <v>33.000149169545153</v>
      </c>
      <c r="M36" s="65">
        <f>('HDFC IS'!E21/'HDFC BS'!E32)*100</f>
        <v>36.000894979590683</v>
      </c>
      <c r="N36" s="68" t="s">
        <v>315</v>
      </c>
    </row>
  </sheetData>
  <mergeCells count="7">
    <mergeCell ref="I1:M2"/>
    <mergeCell ref="I3:M3"/>
    <mergeCell ref="I4:M4"/>
    <mergeCell ref="G1:G5"/>
    <mergeCell ref="B1:F2"/>
    <mergeCell ref="B3:F3"/>
    <mergeCell ref="B4:F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A4D7-2A6A-46CE-9471-0E795D723CCD}">
  <dimension ref="B1:H39"/>
  <sheetViews>
    <sheetView topLeftCell="A13" workbookViewId="0">
      <selection activeCell="B33" sqref="B33"/>
    </sheetView>
  </sheetViews>
  <sheetFormatPr defaultRowHeight="15" x14ac:dyDescent="0.25"/>
  <cols>
    <col min="1" max="1" width="2.140625" customWidth="1"/>
    <col min="2" max="2" width="33" bestFit="1" customWidth="1"/>
    <col min="3" max="4" width="17.28515625" customWidth="1"/>
    <col min="5" max="5" width="17.42578125" customWidth="1"/>
    <col min="6" max="7" width="17.140625" customWidth="1"/>
    <col min="8" max="8" width="17.28515625" customWidth="1"/>
  </cols>
  <sheetData>
    <row r="1" spans="2:8" ht="15" customHeight="1" x14ac:dyDescent="0.25">
      <c r="B1" s="107" t="s">
        <v>21</v>
      </c>
      <c r="C1" s="107"/>
      <c r="D1" s="107"/>
      <c r="E1" s="107"/>
      <c r="F1" s="107"/>
      <c r="G1" s="107"/>
      <c r="H1" s="107"/>
    </row>
    <row r="2" spans="2:8" ht="15" customHeight="1" x14ac:dyDescent="0.25">
      <c r="B2" s="107"/>
      <c r="C2" s="107"/>
      <c r="D2" s="107"/>
      <c r="E2" s="107"/>
      <c r="F2" s="107"/>
      <c r="G2" s="107"/>
      <c r="H2" s="107"/>
    </row>
    <row r="3" spans="2:8" ht="15.75" x14ac:dyDescent="0.25">
      <c r="B3" s="108" t="s">
        <v>190</v>
      </c>
      <c r="C3" s="108"/>
      <c r="D3" s="108"/>
      <c r="E3" s="108"/>
      <c r="F3" s="108"/>
      <c r="G3" s="108"/>
      <c r="H3" s="108"/>
    </row>
    <row r="4" spans="2:8" x14ac:dyDescent="0.25">
      <c r="B4" s="109" t="s">
        <v>19</v>
      </c>
      <c r="C4" s="109"/>
      <c r="D4" s="109"/>
      <c r="E4" s="109"/>
      <c r="F4" s="109"/>
      <c r="G4" s="109"/>
      <c r="H4" s="109"/>
    </row>
    <row r="5" spans="2:8" x14ac:dyDescent="0.25">
      <c r="B5" s="3" t="s">
        <v>0</v>
      </c>
      <c r="C5" s="3">
        <v>2024</v>
      </c>
      <c r="D5" s="3">
        <v>2025</v>
      </c>
      <c r="E5" s="3">
        <v>2026</v>
      </c>
      <c r="F5" s="3">
        <v>2027</v>
      </c>
      <c r="G5" s="3">
        <v>2028</v>
      </c>
      <c r="H5" s="3">
        <v>2029</v>
      </c>
    </row>
    <row r="7" spans="2:8" x14ac:dyDescent="0.25">
      <c r="B7" s="23" t="s">
        <v>1</v>
      </c>
      <c r="C7" s="29">
        <v>283649.02</v>
      </c>
      <c r="D7" s="29">
        <v>336367.43</v>
      </c>
      <c r="E7" s="29">
        <v>348615.15</v>
      </c>
      <c r="F7" s="37">
        <f>E7*(1+$C$31)</f>
        <v>387358.42944581289</v>
      </c>
      <c r="G7" s="37">
        <f>F7*(1+$C$31)</f>
        <v>430407.43600135215</v>
      </c>
      <c r="H7" s="37">
        <f>G7*(1+$C$31)</f>
        <v>478240.68584306497</v>
      </c>
    </row>
    <row r="8" spans="2:8" x14ac:dyDescent="0.25">
      <c r="B8" s="23" t="s">
        <v>3</v>
      </c>
      <c r="C8" s="29">
        <v>154138.54999999999</v>
      </c>
      <c r="D8" s="29">
        <v>183894.2</v>
      </c>
      <c r="E8" s="29">
        <v>185491.23</v>
      </c>
      <c r="F8" s="37">
        <f>E8*(1+$C$32)</f>
        <v>204200.74107897261</v>
      </c>
      <c r="G8" s="37">
        <f>F8*(1+$C$32)</f>
        <v>224797.38075596141</v>
      </c>
      <c r="H8" s="37">
        <f>G8*(1+$C$32)</f>
        <v>247471.49362791594</v>
      </c>
    </row>
    <row r="9" spans="2:8" x14ac:dyDescent="0.25">
      <c r="B9" s="25" t="s">
        <v>9</v>
      </c>
      <c r="C9" s="30">
        <f t="shared" ref="C9" si="0">C7-C8</f>
        <v>129510.47000000003</v>
      </c>
      <c r="D9" s="30">
        <f>D7-D8</f>
        <v>152473.22999999998</v>
      </c>
      <c r="E9" s="30">
        <f>E7-E8</f>
        <v>163123.92000000001</v>
      </c>
      <c r="F9" s="39">
        <f t="shared" ref="F9:H9" si="1">F7-F8</f>
        <v>183157.68836684027</v>
      </c>
      <c r="G9" s="39">
        <f t="shared" si="1"/>
        <v>205610.05524539074</v>
      </c>
      <c r="H9" s="39">
        <f t="shared" si="1"/>
        <v>230769.19221514903</v>
      </c>
    </row>
    <row r="10" spans="2:8" x14ac:dyDescent="0.25">
      <c r="B10" s="23" t="s">
        <v>2</v>
      </c>
      <c r="C10" s="29">
        <v>124345.75</v>
      </c>
      <c r="D10" s="29">
        <v>134548.5</v>
      </c>
      <c r="E10" s="29">
        <v>146847.66</v>
      </c>
      <c r="F10" s="37">
        <f>E10*(1+$C$33)</f>
        <v>159583.9090921162</v>
      </c>
      <c r="G10" s="37">
        <f>F10*(1+$C$33)</f>
        <v>173424.78621123964</v>
      </c>
      <c r="H10" s="37">
        <f>G10*(1+$C$33)</f>
        <v>188466.09688608011</v>
      </c>
    </row>
    <row r="11" spans="2:8" x14ac:dyDescent="0.25">
      <c r="B11" s="25" t="s">
        <v>8</v>
      </c>
      <c r="C11" s="30">
        <f t="shared" ref="C11" si="2">C9+C10</f>
        <v>253856.22000000003</v>
      </c>
      <c r="D11" s="30">
        <f>D9+D10</f>
        <v>287021.73</v>
      </c>
      <c r="E11" s="30">
        <f>E9+E10</f>
        <v>309971.58</v>
      </c>
      <c r="F11" s="39">
        <f t="shared" ref="F11:H11" si="3">F9+F10</f>
        <v>342741.59745895647</v>
      </c>
      <c r="G11" s="39">
        <f t="shared" si="3"/>
        <v>379034.84145663038</v>
      </c>
      <c r="H11" s="39">
        <f t="shared" si="3"/>
        <v>419235.28910122917</v>
      </c>
    </row>
    <row r="12" spans="2:8" x14ac:dyDescent="0.25">
      <c r="B12" s="23"/>
      <c r="C12" s="23"/>
      <c r="D12" s="23"/>
      <c r="E12" s="23"/>
    </row>
    <row r="13" spans="2:8" x14ac:dyDescent="0.25">
      <c r="B13" s="23" t="s">
        <v>4</v>
      </c>
      <c r="C13" s="29">
        <v>152269.34</v>
      </c>
      <c r="D13" s="29">
        <v>176605.07</v>
      </c>
      <c r="E13" s="29">
        <v>181173.91</v>
      </c>
      <c r="F13" s="37">
        <f>E13*(1+$C$34)</f>
        <v>197995.06218253946</v>
      </c>
      <c r="G13" s="37">
        <f>F13*(1+$C$34)</f>
        <v>216377.97985740699</v>
      </c>
      <c r="H13" s="37">
        <f>G13*(1+$C$34)</f>
        <v>236467.66566333731</v>
      </c>
    </row>
    <row r="14" spans="2:8" x14ac:dyDescent="0.25">
      <c r="B14" s="25" t="s">
        <v>10</v>
      </c>
      <c r="C14" s="30">
        <f t="shared" ref="C14:D14" si="4">C11-C13</f>
        <v>101586.88000000003</v>
      </c>
      <c r="D14" s="30">
        <f t="shared" si="4"/>
        <v>110416.65999999997</v>
      </c>
      <c r="E14" s="30">
        <f>E11-E13</f>
        <v>128797.67000000001</v>
      </c>
      <c r="F14" s="39">
        <f t="shared" ref="F14:H14" si="5">F11-F13</f>
        <v>144746.53527641701</v>
      </c>
      <c r="G14" s="39">
        <f t="shared" si="5"/>
        <v>162656.8615992234</v>
      </c>
      <c r="H14" s="39">
        <f t="shared" si="5"/>
        <v>182767.62343789186</v>
      </c>
    </row>
    <row r="15" spans="2:8" x14ac:dyDescent="0.25">
      <c r="B15" s="23"/>
      <c r="C15" s="29"/>
      <c r="D15" s="29"/>
      <c r="E15" s="29"/>
    </row>
    <row r="16" spans="2:8" x14ac:dyDescent="0.25">
      <c r="B16" s="23" t="s">
        <v>11</v>
      </c>
      <c r="C16" s="29">
        <v>26057.360000000001</v>
      </c>
      <c r="D16" s="29">
        <v>15845.79</v>
      </c>
      <c r="E16" s="29">
        <v>29080.81</v>
      </c>
      <c r="F16" s="40">
        <f>$C$35*'HDFC BS Forecasting'!F21</f>
        <v>28230.080175373736</v>
      </c>
      <c r="G16" s="40">
        <f>$C$35*'HDFC BS Forecasting'!G21</f>
        <v>30757.74450283415</v>
      </c>
      <c r="H16" s="40">
        <f>$C$35*'HDFC BS Forecasting'!H21</f>
        <v>33511.730785904496</v>
      </c>
    </row>
    <row r="17" spans="2:8" x14ac:dyDescent="0.25">
      <c r="B17" s="25" t="s">
        <v>5</v>
      </c>
      <c r="C17" s="30">
        <f t="shared" ref="C17:D17" si="6">C14-C16</f>
        <v>75529.520000000033</v>
      </c>
      <c r="D17" s="30">
        <f t="shared" si="6"/>
        <v>94570.869999999966</v>
      </c>
      <c r="E17" s="30">
        <f>E14-E16</f>
        <v>99716.860000000015</v>
      </c>
      <c r="F17" s="39">
        <f t="shared" ref="F17:H17" si="7">F14-F16</f>
        <v>116516.45510104328</v>
      </c>
      <c r="G17" s="39">
        <f t="shared" si="7"/>
        <v>131899.11709638924</v>
      </c>
      <c r="H17" s="39">
        <f t="shared" si="7"/>
        <v>149255.89265198738</v>
      </c>
    </row>
    <row r="18" spans="2:8" x14ac:dyDescent="0.25">
      <c r="B18" s="23" t="s">
        <v>6</v>
      </c>
      <c r="C18" s="29">
        <v>10083.02</v>
      </c>
      <c r="D18" s="29">
        <v>21130.7</v>
      </c>
      <c r="E18" s="31">
        <v>20497.400000000001</v>
      </c>
      <c r="F18" s="31">
        <f>F17*$C$36</f>
        <v>21846.504147718602</v>
      </c>
      <c r="G18" s="31">
        <f>G17*$C$36</f>
        <v>24730.709548516708</v>
      </c>
      <c r="H18" s="31">
        <f>H17*$C$36</f>
        <v>27985.055630686526</v>
      </c>
    </row>
    <row r="19" spans="2:8" x14ac:dyDescent="0.25">
      <c r="B19" s="25" t="s">
        <v>7</v>
      </c>
      <c r="C19" s="30">
        <f t="shared" ref="C19:D19" si="8">C17-C18</f>
        <v>65446.500000000029</v>
      </c>
      <c r="D19" s="30">
        <f t="shared" si="8"/>
        <v>73440.169999999969</v>
      </c>
      <c r="E19" s="30">
        <f>E17-E18</f>
        <v>79219.460000000021</v>
      </c>
      <c r="F19" s="39">
        <f t="shared" ref="F19:H19" si="9">F17-F18</f>
        <v>94669.950953324675</v>
      </c>
      <c r="G19" s="39">
        <f t="shared" si="9"/>
        <v>107168.40754787253</v>
      </c>
      <c r="H19" s="39">
        <f t="shared" si="9"/>
        <v>121270.83702130086</v>
      </c>
    </row>
    <row r="20" spans="2:8" x14ac:dyDescent="0.25">
      <c r="B20" s="23" t="s">
        <v>13</v>
      </c>
      <c r="C20" s="29">
        <v>1384.46</v>
      </c>
      <c r="D20" s="29">
        <v>2647.92</v>
      </c>
      <c r="E20" s="29">
        <v>3193.49</v>
      </c>
      <c r="F20" s="37">
        <f>E20*(1+$C$38)</f>
        <v>3479.2888048415448</v>
      </c>
      <c r="G20" s="37">
        <f>F20*(1+$C$38)</f>
        <v>3790.6649425849796</v>
      </c>
      <c r="H20" s="37">
        <f>G20*(1+$C$38)</f>
        <v>4129.9074359529041</v>
      </c>
    </row>
    <row r="21" spans="2:8" x14ac:dyDescent="0.25">
      <c r="B21" s="25" t="s">
        <v>14</v>
      </c>
      <c r="C21" s="30">
        <f>C19-C20</f>
        <v>64062.04000000003</v>
      </c>
      <c r="D21" s="30">
        <f t="shared" ref="D21:E21" si="10">D19-D20</f>
        <v>70792.249999999971</v>
      </c>
      <c r="E21" s="30">
        <f t="shared" si="10"/>
        <v>76025.970000000016</v>
      </c>
      <c r="F21" s="30">
        <f>F19-F20</f>
        <v>91190.662148483127</v>
      </c>
      <c r="G21" s="30">
        <f t="shared" ref="G21:H21" si="11">G19-G20</f>
        <v>103377.74260528755</v>
      </c>
      <c r="H21" s="30">
        <f t="shared" si="11"/>
        <v>117140.92958534796</v>
      </c>
    </row>
    <row r="22" spans="2:8" x14ac:dyDescent="0.25">
      <c r="B22" s="23"/>
      <c r="C22" s="23"/>
      <c r="D22" s="23"/>
      <c r="E22" s="23"/>
    </row>
    <row r="23" spans="2:8" x14ac:dyDescent="0.25">
      <c r="B23" s="25" t="s">
        <v>15</v>
      </c>
      <c r="C23" s="30">
        <f>(C21)/C24</f>
        <v>45.21000000095345</v>
      </c>
      <c r="D23" s="30">
        <f t="shared" ref="D23:H23" si="12">(D21)/D24</f>
        <v>46.404148834040605</v>
      </c>
      <c r="E23" s="30">
        <f t="shared" si="12"/>
        <v>49.504253413988344</v>
      </c>
      <c r="F23" s="39">
        <f t="shared" si="12"/>
        <v>56.735430037866848</v>
      </c>
      <c r="G23" s="39">
        <f t="shared" si="12"/>
        <v>61.454609436106473</v>
      </c>
      <c r="H23" s="39">
        <f t="shared" si="12"/>
        <v>66.536433971634466</v>
      </c>
    </row>
    <row r="24" spans="2:8" x14ac:dyDescent="0.25">
      <c r="B24" s="23" t="s">
        <v>16</v>
      </c>
      <c r="C24" s="31">
        <v>1416.9882769000001</v>
      </c>
      <c r="D24" s="31">
        <v>1525.558636</v>
      </c>
      <c r="E24" s="31">
        <v>1535.7462189</v>
      </c>
      <c r="F24" s="31">
        <f>E24*(1+$C$39)</f>
        <v>1607.2965709014609</v>
      </c>
      <c r="G24" s="31">
        <f>F24*(1+$C$39)</f>
        <v>1682.1804508052076</v>
      </c>
      <c r="H24" s="31">
        <f>G24*(1+$C$39)</f>
        <v>1760.5531675365557</v>
      </c>
    </row>
    <row r="25" spans="2:8" x14ac:dyDescent="0.25">
      <c r="B25" s="25" t="s">
        <v>17</v>
      </c>
      <c r="C25" s="30">
        <f>(C21)/C26</f>
        <v>45.004999999548296</v>
      </c>
      <c r="D25" s="30">
        <f t="shared" ref="D25:H25" si="13">(D21)/D26</f>
        <v>46.19715603446943</v>
      </c>
      <c r="E25" s="30">
        <f t="shared" si="13"/>
        <v>49.278067614515372</v>
      </c>
      <c r="F25" s="39">
        <f t="shared" si="13"/>
        <v>56.735430037866848</v>
      </c>
      <c r="G25" s="39">
        <f t="shared" si="13"/>
        <v>61.454609436106473</v>
      </c>
      <c r="H25" s="39">
        <f t="shared" si="13"/>
        <v>66.536433971634466</v>
      </c>
    </row>
    <row r="26" spans="2:8" x14ac:dyDescent="0.25">
      <c r="B26" s="23" t="s">
        <v>18</v>
      </c>
      <c r="C26" s="31">
        <v>1423.4427286</v>
      </c>
      <c r="D26" s="31">
        <v>1532.3941142000001</v>
      </c>
      <c r="E26" s="31">
        <v>1542.7952775000001</v>
      </c>
      <c r="F26" s="31">
        <f>F24</f>
        <v>1607.2965709014609</v>
      </c>
      <c r="G26" s="31">
        <f>G24</f>
        <v>1682.1804508052076</v>
      </c>
      <c r="H26" s="31">
        <f>H24</f>
        <v>1760.5531675365557</v>
      </c>
    </row>
    <row r="29" spans="2:8" x14ac:dyDescent="0.25">
      <c r="B29" s="111" t="s">
        <v>65</v>
      </c>
      <c r="C29" s="111"/>
      <c r="D29" s="111"/>
      <c r="E29" s="111"/>
    </row>
    <row r="30" spans="2:8" x14ac:dyDescent="0.25">
      <c r="B30" s="41" t="s">
        <v>66</v>
      </c>
      <c r="C30" s="41" t="s">
        <v>67</v>
      </c>
      <c r="D30" s="41" t="s">
        <v>68</v>
      </c>
      <c r="E30" s="23"/>
    </row>
    <row r="31" spans="2:8" ht="24" x14ac:dyDescent="0.25">
      <c r="B31" s="23" t="s">
        <v>69</v>
      </c>
      <c r="C31" s="42">
        <f>AVERAGE(D7/C7-1,E7/D7-1)</f>
        <v>0.11113481283246829</v>
      </c>
      <c r="D31" s="43" t="s">
        <v>111</v>
      </c>
      <c r="E31" s="23"/>
    </row>
    <row r="32" spans="2:8" ht="24" x14ac:dyDescent="0.25">
      <c r="B32" s="23" t="s">
        <v>70</v>
      </c>
      <c r="C32" s="42">
        <f>AVERAGE(D8/C8-1,E8/D8-1)</f>
        <v>0.1008646666420433</v>
      </c>
      <c r="D32" s="43" t="s">
        <v>111</v>
      </c>
      <c r="E32" s="23"/>
    </row>
    <row r="33" spans="2:5" ht="24" x14ac:dyDescent="0.25">
      <c r="B33" s="23" t="s">
        <v>71</v>
      </c>
      <c r="C33" s="42">
        <f>AVERAGE(D10/C10-1,E10/D10-1)</f>
        <v>8.673103195594789E-2</v>
      </c>
      <c r="D33" s="43" t="s">
        <v>111</v>
      </c>
      <c r="E33" s="23"/>
    </row>
    <row r="34" spans="2:5" ht="24" x14ac:dyDescent="0.25">
      <c r="B34" s="23" t="s">
        <v>72</v>
      </c>
      <c r="C34" s="42">
        <f>AVERAGE(D13/C13-1,E13/D13-1)</f>
        <v>9.284533398070105E-2</v>
      </c>
      <c r="D34" s="43" t="s">
        <v>111</v>
      </c>
      <c r="E34" s="23"/>
    </row>
    <row r="35" spans="2:5" ht="60" x14ac:dyDescent="0.25">
      <c r="B35" s="23" t="s">
        <v>73</v>
      </c>
      <c r="C35" s="42">
        <f>AVERAGE(C16/'HDFC BS Forecasting'!C21,D16/'HDFC BS Forecasting'!D21,E16/'HDFC BS Forecasting'!E21)</f>
        <v>8.4929464875715416E-3</v>
      </c>
      <c r="D35" s="43" t="s">
        <v>112</v>
      </c>
      <c r="E35" s="23"/>
    </row>
    <row r="36" spans="2:5" ht="36" x14ac:dyDescent="0.25">
      <c r="B36" s="23" t="s">
        <v>74</v>
      </c>
      <c r="C36" s="42">
        <f>AVERAGE(C18/C17,D18/D17,E18/E17)</f>
        <v>0.18749715762270039</v>
      </c>
      <c r="D36" s="43" t="s">
        <v>113</v>
      </c>
      <c r="E36" s="23"/>
    </row>
    <row r="37" spans="2:5" ht="24" x14ac:dyDescent="0.25">
      <c r="B37" s="23" t="s">
        <v>75</v>
      </c>
      <c r="C37" s="42">
        <f>AVERAGE(D20/C20-1,E20/D20-1)</f>
        <v>0.55931924724552673</v>
      </c>
      <c r="D37" s="43" t="s">
        <v>111</v>
      </c>
      <c r="E37" s="23"/>
    </row>
    <row r="38" spans="2:5" ht="24" x14ac:dyDescent="0.25">
      <c r="B38" s="23" t="s">
        <v>76</v>
      </c>
      <c r="C38" s="42">
        <f>AVERAGE(D21/C21-1,E21/D21-1)</f>
        <v>8.9494191258324141E-2</v>
      </c>
      <c r="D38" s="43" t="s">
        <v>111</v>
      </c>
      <c r="E38" s="23"/>
    </row>
    <row r="39" spans="2:5" ht="24" x14ac:dyDescent="0.25">
      <c r="B39" s="23" t="s">
        <v>77</v>
      </c>
      <c r="C39" s="42">
        <f>AVERAGE(D25/C25-1,E25/D25-1)</f>
        <v>4.6589958106952101E-2</v>
      </c>
      <c r="D39" s="43" t="s">
        <v>111</v>
      </c>
      <c r="E39" s="23"/>
    </row>
  </sheetData>
  <mergeCells count="4">
    <mergeCell ref="B1:H2"/>
    <mergeCell ref="B3:H3"/>
    <mergeCell ref="B4:H4"/>
    <mergeCell ref="B29:E29"/>
  </mergeCells>
  <pageMargins left="0.7" right="0.7" top="0.75" bottom="0.75" header="0.3" footer="0.3"/>
  <ignoredErrors>
    <ignoredError sqref="F20:H20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119F-16D6-43D2-8F42-B1C65CD030FD}">
  <dimension ref="B1:H40"/>
  <sheetViews>
    <sheetView workbookViewId="0">
      <selection activeCell="F9" sqref="F9"/>
    </sheetView>
  </sheetViews>
  <sheetFormatPr defaultRowHeight="15" x14ac:dyDescent="0.25"/>
  <cols>
    <col min="1" max="1" width="2.140625" customWidth="1"/>
    <col min="2" max="2" width="33" bestFit="1" customWidth="1"/>
    <col min="3" max="4" width="17.28515625" customWidth="1"/>
    <col min="5" max="5" width="17.42578125" customWidth="1"/>
    <col min="6" max="7" width="17.140625" customWidth="1"/>
    <col min="8" max="8" width="17.28515625" customWidth="1"/>
  </cols>
  <sheetData>
    <row r="1" spans="2:8" ht="15" customHeight="1" x14ac:dyDescent="0.25">
      <c r="B1" s="107" t="s">
        <v>21</v>
      </c>
      <c r="C1" s="107"/>
      <c r="D1" s="107"/>
      <c r="E1" s="107"/>
      <c r="F1" s="107"/>
      <c r="G1" s="107"/>
      <c r="H1" s="107"/>
    </row>
    <row r="2" spans="2:8" ht="15" customHeight="1" x14ac:dyDescent="0.25">
      <c r="B2" s="107"/>
      <c r="C2" s="107"/>
      <c r="D2" s="107"/>
      <c r="E2" s="107"/>
      <c r="F2" s="107"/>
      <c r="G2" s="107"/>
      <c r="H2" s="107"/>
    </row>
    <row r="3" spans="2:8" ht="15.75" x14ac:dyDescent="0.25">
      <c r="B3" s="108" t="s">
        <v>78</v>
      </c>
      <c r="C3" s="108"/>
      <c r="D3" s="108"/>
      <c r="E3" s="108"/>
      <c r="F3" s="108"/>
      <c r="G3" s="108"/>
      <c r="H3" s="108"/>
    </row>
    <row r="4" spans="2:8" x14ac:dyDescent="0.25">
      <c r="B4" s="109" t="s">
        <v>19</v>
      </c>
      <c r="C4" s="109"/>
      <c r="D4" s="109"/>
      <c r="E4" s="109"/>
      <c r="F4" s="109"/>
      <c r="G4" s="109"/>
      <c r="H4" s="109"/>
    </row>
    <row r="5" spans="2:8" x14ac:dyDescent="0.25">
      <c r="B5" s="3" t="s">
        <v>0</v>
      </c>
      <c r="C5" s="3">
        <v>2024</v>
      </c>
      <c r="D5" s="3">
        <v>2025</v>
      </c>
      <c r="E5" s="3">
        <v>2026</v>
      </c>
      <c r="F5" s="3">
        <v>2027</v>
      </c>
      <c r="G5" s="3">
        <v>2028</v>
      </c>
      <c r="H5" s="3">
        <v>2029</v>
      </c>
    </row>
    <row r="7" spans="2:8" x14ac:dyDescent="0.25">
      <c r="B7" s="27" t="s">
        <v>22</v>
      </c>
      <c r="C7" s="28"/>
      <c r="D7" s="28"/>
      <c r="E7" s="28"/>
      <c r="F7" s="37"/>
      <c r="G7" s="37"/>
      <c r="H7" s="37"/>
    </row>
    <row r="8" spans="2:8" x14ac:dyDescent="0.25">
      <c r="B8" s="23" t="s">
        <v>23</v>
      </c>
      <c r="C8" s="29">
        <v>759.69</v>
      </c>
      <c r="D8" s="29">
        <v>765.22</v>
      </c>
      <c r="E8" s="29">
        <v>1539.34</v>
      </c>
      <c r="F8" s="11">
        <f>E8*(1+$C$31)</f>
        <v>2323.564403621664</v>
      </c>
      <c r="G8" s="11">
        <f>F8*(1+$C$31)</f>
        <v>3507.3158222210163</v>
      </c>
      <c r="H8" s="11">
        <f>G8*(1+$C$31)</f>
        <v>5294.1352766586997</v>
      </c>
    </row>
    <row r="9" spans="2:8" x14ac:dyDescent="0.25">
      <c r="B9" s="29" t="s">
        <v>24</v>
      </c>
      <c r="C9" s="29">
        <v>452982.84</v>
      </c>
      <c r="D9" s="29">
        <v>517218.98</v>
      </c>
      <c r="E9" s="29">
        <v>579975.02</v>
      </c>
      <c r="F9" s="12">
        <f>E9+'HDFC IS Forecasting'!F22+'HDFC CF Forecasting'!F24+$C$39</f>
        <v>642604.56216600421</v>
      </c>
      <c r="G9" s="12">
        <f>F9+'HDFC IS Forecasting'!G22+'HDFC CF Forecasting'!G24+$C$39</f>
        <v>702743.96564763016</v>
      </c>
      <c r="H9" s="12">
        <f>G9+'HDFC IS Forecasting'!H22+'HDFC CF Forecasting'!H24+$C$39</f>
        <v>760071.19073748682</v>
      </c>
    </row>
    <row r="10" spans="2:8" x14ac:dyDescent="0.25">
      <c r="B10" s="23" t="s">
        <v>37</v>
      </c>
      <c r="C10" s="29">
        <v>16036.12</v>
      </c>
      <c r="D10" s="29">
        <v>20164.23</v>
      </c>
      <c r="E10" s="29">
        <v>26930.07</v>
      </c>
      <c r="F10" s="11">
        <f>E10*(1+$C$32)</f>
        <v>34914.330499208212</v>
      </c>
      <c r="G10" s="11">
        <f>F10*(1+$C$32)</f>
        <v>45265.774437568893</v>
      </c>
      <c r="H10" s="11">
        <f>G10*(1+$C$32)</f>
        <v>58686.227292238422</v>
      </c>
    </row>
    <row r="11" spans="2:8" x14ac:dyDescent="0.25">
      <c r="B11" s="29"/>
      <c r="C11" s="29"/>
      <c r="D11" s="29"/>
      <c r="E11" s="29"/>
      <c r="F11" s="13"/>
      <c r="G11" s="13"/>
      <c r="H11" s="13"/>
    </row>
    <row r="12" spans="2:8" x14ac:dyDescent="0.25">
      <c r="B12" s="23" t="s">
        <v>25</v>
      </c>
      <c r="C12" s="29">
        <v>2376887.2799999998</v>
      </c>
      <c r="D12" s="29">
        <v>2710898.23</v>
      </c>
      <c r="E12" s="29">
        <v>3099638.29</v>
      </c>
      <c r="F12" s="11">
        <f>E12*(1+$C$33)</f>
        <v>3539668.3806765955</v>
      </c>
      <c r="G12" s="11">
        <f>F12*(1+$C$33)</f>
        <v>4042165.9151596273</v>
      </c>
      <c r="H12" s="11">
        <f>G12*(1+$C$33)</f>
        <v>4615998.8813853525</v>
      </c>
    </row>
    <row r="13" spans="2:8" x14ac:dyDescent="0.25">
      <c r="B13" s="29" t="s">
        <v>26</v>
      </c>
      <c r="C13" s="29">
        <v>730615.46</v>
      </c>
      <c r="D13" s="29">
        <v>634605.56999999995</v>
      </c>
      <c r="E13" s="29">
        <v>588484.55000000005</v>
      </c>
      <c r="F13" s="11">
        <f>E13*(1+$C$34)</f>
        <v>528433.73955759115</v>
      </c>
      <c r="G13" s="11">
        <f>F13*(1+$C$34)</f>
        <v>474510.7022823625</v>
      </c>
      <c r="H13" s="11">
        <f>G13*(1+$C$34)</f>
        <v>426090.14096830174</v>
      </c>
    </row>
    <row r="14" spans="2:8" x14ac:dyDescent="0.25">
      <c r="B14" s="29" t="s">
        <v>27</v>
      </c>
      <c r="C14" s="29">
        <v>452912.87</v>
      </c>
      <c r="D14" s="29">
        <v>508765.19</v>
      </c>
      <c r="E14" s="29">
        <v>611473.56999999995</v>
      </c>
      <c r="F14" s="14">
        <f>F24-(F8+F9+F10+F12+F13)</f>
        <v>711647.5745543018</v>
      </c>
      <c r="G14" s="14">
        <f>G24-(G8+G9+G10+G12+G13)</f>
        <v>753648.27583384048</v>
      </c>
      <c r="H14" s="14">
        <f>H24-(H8+H9+H10+H12+H13)</f>
        <v>830999.92771283165</v>
      </c>
    </row>
    <row r="15" spans="2:8" x14ac:dyDescent="0.25">
      <c r="B15" s="30" t="s">
        <v>28</v>
      </c>
      <c r="C15" s="30">
        <f t="shared" ref="C15:D15" si="0">SUM(C8:C14)</f>
        <v>4030194.26</v>
      </c>
      <c r="D15" s="30">
        <f t="shared" si="0"/>
        <v>4392417.42</v>
      </c>
      <c r="E15" s="30">
        <f>SUM(E8:E14)</f>
        <v>4908040.84</v>
      </c>
      <c r="F15" s="15">
        <f t="shared" ref="F15:H15" si="1">SUM(F8:F14)</f>
        <v>5459592.151857323</v>
      </c>
      <c r="G15" s="15">
        <f t="shared" si="1"/>
        <v>6021841.9491832508</v>
      </c>
      <c r="H15" s="15">
        <f t="shared" si="1"/>
        <v>6697140.5033728695</v>
      </c>
    </row>
    <row r="16" spans="2:8" x14ac:dyDescent="0.25">
      <c r="B16" s="23"/>
      <c r="C16" s="29"/>
      <c r="D16" s="29"/>
      <c r="E16" s="29"/>
      <c r="F16" s="13"/>
      <c r="G16" s="13"/>
      <c r="H16" s="13"/>
    </row>
    <row r="17" spans="2:8" x14ac:dyDescent="0.25">
      <c r="B17" s="28" t="s">
        <v>29</v>
      </c>
      <c r="C17" s="28"/>
      <c r="D17" s="28"/>
      <c r="E17" s="28"/>
      <c r="F17" s="13"/>
      <c r="G17" s="13"/>
      <c r="H17" s="13"/>
    </row>
    <row r="18" spans="2:8" x14ac:dyDescent="0.25">
      <c r="B18" s="29" t="s">
        <v>30</v>
      </c>
      <c r="C18" s="29">
        <v>178718.67</v>
      </c>
      <c r="D18" s="29">
        <v>144390.25</v>
      </c>
      <c r="E18" s="29">
        <v>200707.11</v>
      </c>
      <c r="F18" s="12">
        <f>'HDFC CF Forecasting'!F32-F19</f>
        <v>227783.07933383598</v>
      </c>
      <c r="G18" s="12">
        <f>'HDFC CF Forecasting'!G32-G19</f>
        <v>169403.86981934326</v>
      </c>
      <c r="H18" s="12">
        <f>'HDFC CF Forecasting'!H32-H19</f>
        <v>112168.33464261465</v>
      </c>
    </row>
    <row r="19" spans="2:8" x14ac:dyDescent="0.25">
      <c r="B19" s="23" t="s">
        <v>31</v>
      </c>
      <c r="C19" s="29">
        <v>50115.839999999997</v>
      </c>
      <c r="D19" s="29">
        <v>105557.65</v>
      </c>
      <c r="E19" s="29">
        <v>111218.94</v>
      </c>
      <c r="F19" s="11">
        <f>E19*(1+$C$35)</f>
        <v>175720.66431003803</v>
      </c>
      <c r="G19" s="11">
        <f>F19*(1+$C$35)</f>
        <v>277630.33765257132</v>
      </c>
      <c r="H19" s="11">
        <f>G19*(1+$C$35)</f>
        <v>438642.80099171953</v>
      </c>
    </row>
    <row r="20" spans="2:8" x14ac:dyDescent="0.25">
      <c r="B20" s="29" t="s">
        <v>32</v>
      </c>
      <c r="C20" s="29">
        <v>1005681.63</v>
      </c>
      <c r="D20" s="29">
        <v>1186472.8899999999</v>
      </c>
      <c r="E20" s="29">
        <v>1280216.29</v>
      </c>
      <c r="F20" s="11">
        <f>E20*(1+$C$36)</f>
        <v>1445863.4906386696</v>
      </c>
      <c r="G20" s="11">
        <f>F20*(1+$C$36)</f>
        <v>1632943.7844927267</v>
      </c>
      <c r="H20" s="11">
        <f>G20*(1+$C$36)</f>
        <v>1844230.3997423537</v>
      </c>
    </row>
    <row r="21" spans="2:8" x14ac:dyDescent="0.25">
      <c r="B21" s="29" t="s">
        <v>33</v>
      </c>
      <c r="C21" s="29">
        <v>2571916.65</v>
      </c>
      <c r="D21" s="29">
        <v>2724938.16</v>
      </c>
      <c r="E21" s="29">
        <v>3050783.23</v>
      </c>
      <c r="F21" s="11">
        <f>E21*(1+$C$37)</f>
        <v>3323944.1949487422</v>
      </c>
      <c r="G21" s="11">
        <f>F21*(1+$C$37)</f>
        <v>3621563.440655678</v>
      </c>
      <c r="H21" s="11">
        <f>G21*(1+$C$37)</f>
        <v>3945830.9121510526</v>
      </c>
    </row>
    <row r="22" spans="2:8" x14ac:dyDescent="0.25">
      <c r="B22" s="29" t="s">
        <v>34</v>
      </c>
      <c r="C22" s="29">
        <v>12603.76</v>
      </c>
      <c r="D22" s="29">
        <v>15257.94</v>
      </c>
      <c r="E22" s="29">
        <v>16491.59</v>
      </c>
      <c r="F22" s="12">
        <f>E22-'HDFC CF Forecasting'!F19-'HDFC CF Forecasting'!F9</f>
        <v>16015.974873281377</v>
      </c>
      <c r="G22" s="12">
        <f>F22-'HDFC CF Forecasting'!G19-'HDFC CF Forecasting'!G9</f>
        <v>26510.987432557278</v>
      </c>
      <c r="H22" s="12">
        <f>G22-'HDFC CF Forecasting'!H19-'HDFC CF Forecasting'!H9</f>
        <v>36906.066742477393</v>
      </c>
    </row>
    <row r="23" spans="2:8" x14ac:dyDescent="0.25">
      <c r="B23" s="29" t="s">
        <v>35</v>
      </c>
      <c r="C23" s="29">
        <v>211157.71</v>
      </c>
      <c r="D23" s="29">
        <v>215800.53</v>
      </c>
      <c r="E23" s="29">
        <v>248623.68</v>
      </c>
      <c r="F23" s="11">
        <f>E23*(1+$C$38)</f>
        <v>270264.74775275576</v>
      </c>
      <c r="G23" s="11">
        <f>F23*(1+$C$38)</f>
        <v>293789.52913037367</v>
      </c>
      <c r="H23" s="11">
        <f>G23*(1+$C$38)</f>
        <v>319361.98910265235</v>
      </c>
    </row>
    <row r="24" spans="2:8" x14ac:dyDescent="0.25">
      <c r="B24" s="30" t="s">
        <v>36</v>
      </c>
      <c r="C24" s="30">
        <f t="shared" ref="C24:D24" si="2">SUM(C17:C23)</f>
        <v>4030194.26</v>
      </c>
      <c r="D24" s="30">
        <f t="shared" si="2"/>
        <v>4392417.42</v>
      </c>
      <c r="E24" s="30">
        <f>SUM(E17:E23)</f>
        <v>4908040.84</v>
      </c>
      <c r="F24" s="15">
        <f t="shared" ref="F24:H24" si="3">SUM(F17:F23)</f>
        <v>5459592.151857323</v>
      </c>
      <c r="G24" s="15">
        <f t="shared" si="3"/>
        <v>6021841.9491832508</v>
      </c>
      <c r="H24" s="15">
        <f t="shared" si="3"/>
        <v>6697140.5033728695</v>
      </c>
    </row>
    <row r="26" spans="2:8" x14ac:dyDescent="0.25">
      <c r="B26" s="16" t="s">
        <v>79</v>
      </c>
      <c r="C26" s="17">
        <f t="shared" ref="C26:H26" si="4">C24-C15</f>
        <v>0</v>
      </c>
      <c r="D26" s="17">
        <f t="shared" si="4"/>
        <v>0</v>
      </c>
      <c r="E26" s="17">
        <f t="shared" si="4"/>
        <v>0</v>
      </c>
      <c r="F26" s="17">
        <f t="shared" si="4"/>
        <v>0</v>
      </c>
      <c r="G26" s="17">
        <f t="shared" si="4"/>
        <v>0</v>
      </c>
      <c r="H26" s="17">
        <f t="shared" si="4"/>
        <v>0</v>
      </c>
    </row>
    <row r="29" spans="2:8" ht="15" customHeight="1" x14ac:dyDescent="0.25">
      <c r="B29" s="113" t="s">
        <v>65</v>
      </c>
      <c r="C29" s="113"/>
      <c r="D29" s="113"/>
      <c r="E29" s="113"/>
    </row>
    <row r="30" spans="2:8" ht="15" customHeight="1" x14ac:dyDescent="0.25">
      <c r="B30" s="8" t="s">
        <v>66</v>
      </c>
      <c r="C30" s="8" t="s">
        <v>67</v>
      </c>
      <c r="D30" s="8" t="s">
        <v>68</v>
      </c>
      <c r="E30" s="8"/>
    </row>
    <row r="31" spans="2:8" ht="15" customHeight="1" x14ac:dyDescent="0.25">
      <c r="B31" s="23" t="s">
        <v>80</v>
      </c>
      <c r="C31" s="9">
        <f>AVERAGE(D8/C8-1,E8/D8-1)</f>
        <v>0.50945496356988329</v>
      </c>
      <c r="D31" s="112" t="s">
        <v>114</v>
      </c>
      <c r="E31" s="112"/>
    </row>
    <row r="32" spans="2:8" ht="15" customHeight="1" x14ac:dyDescent="0.25">
      <c r="B32" s="23" t="s">
        <v>81</v>
      </c>
      <c r="C32" s="9">
        <f>AVERAGE(D10/C10-1,E10/D10-1)</f>
        <v>0.29648123822954109</v>
      </c>
      <c r="D32" s="112" t="s">
        <v>115</v>
      </c>
      <c r="E32" s="112"/>
    </row>
    <row r="33" spans="2:5" ht="15" customHeight="1" x14ac:dyDescent="0.25">
      <c r="B33" s="23" t="s">
        <v>82</v>
      </c>
      <c r="C33" s="9">
        <f>AVERAGE(D12/C12-1,E12/D12-1)</f>
        <v>0.14196175472996742</v>
      </c>
      <c r="D33" s="112" t="s">
        <v>116</v>
      </c>
      <c r="E33" s="112"/>
    </row>
    <row r="34" spans="2:5" ht="15" customHeight="1" x14ac:dyDescent="0.25">
      <c r="B34" s="23" t="s">
        <v>83</v>
      </c>
      <c r="C34" s="9">
        <f>AVERAGE(D13/C13-1,E13/D13-1)</f>
        <v>-0.10204313850280161</v>
      </c>
      <c r="D34" s="112" t="s">
        <v>117</v>
      </c>
      <c r="E34" s="112"/>
    </row>
    <row r="35" spans="2:5" ht="15" customHeight="1" x14ac:dyDescent="0.25">
      <c r="B35" s="23" t="s">
        <v>84</v>
      </c>
      <c r="C35" s="9">
        <f>AVERAGE(D19/C19-1,E19/D19-1)</f>
        <v>0.57995269789514281</v>
      </c>
      <c r="D35" s="112" t="s">
        <v>118</v>
      </c>
      <c r="E35" s="112"/>
    </row>
    <row r="36" spans="2:5" ht="15" customHeight="1" x14ac:dyDescent="0.25">
      <c r="B36" s="23" t="s">
        <v>85</v>
      </c>
      <c r="C36" s="9">
        <f>AVERAGE(D20/C20-1,E20/D20-1)</f>
        <v>0.1293900116195752</v>
      </c>
      <c r="D36" s="112" t="s">
        <v>119</v>
      </c>
      <c r="E36" s="112"/>
    </row>
    <row r="37" spans="2:5" ht="15" customHeight="1" x14ac:dyDescent="0.25">
      <c r="B37" s="23" t="s">
        <v>86</v>
      </c>
      <c r="C37" s="9">
        <f>AVERAGE(D21/C21-1,E21/D21-1)</f>
        <v>8.9537979054887584E-2</v>
      </c>
      <c r="D37" s="112" t="s">
        <v>120</v>
      </c>
      <c r="E37" s="112"/>
    </row>
    <row r="38" spans="2:5" ht="15" customHeight="1" x14ac:dyDescent="0.25">
      <c r="B38" s="23" t="s">
        <v>87</v>
      </c>
      <c r="C38" s="9">
        <f>AVERAGE(D23/C23-1,E23/D23-1)</f>
        <v>8.7043469683803831E-2</v>
      </c>
      <c r="D38" s="112" t="s">
        <v>121</v>
      </c>
      <c r="E38" s="112"/>
    </row>
    <row r="39" spans="2:5" x14ac:dyDescent="0.25">
      <c r="B39" s="23" t="s">
        <v>88</v>
      </c>
      <c r="C39" s="18">
        <f>AVERAGE((D9-C9)-('HDFC IS Forecasting'!D22+'HDFC CF Forecasting'!D24),(E9-D9)-('HDFC IS Forecasting'!E22+'HDFC CF Forecasting'!E24))</f>
        <v>81262.174999999988</v>
      </c>
      <c r="D39" s="112" t="s">
        <v>89</v>
      </c>
      <c r="E39" s="112"/>
    </row>
    <row r="40" spans="2:5" x14ac:dyDescent="0.25">
      <c r="B40" s="23" t="s">
        <v>27</v>
      </c>
      <c r="C40" s="20" t="s">
        <v>90</v>
      </c>
      <c r="D40" s="112" t="s">
        <v>91</v>
      </c>
      <c r="E40" s="112"/>
    </row>
  </sheetData>
  <mergeCells count="14">
    <mergeCell ref="B29:E29"/>
    <mergeCell ref="D31:E31"/>
    <mergeCell ref="D32:E32"/>
    <mergeCell ref="D33:E33"/>
    <mergeCell ref="B1:H2"/>
    <mergeCell ref="B3:H3"/>
    <mergeCell ref="B4:H4"/>
    <mergeCell ref="D39:E39"/>
    <mergeCell ref="D40:E40"/>
    <mergeCell ref="D34:E34"/>
    <mergeCell ref="D35:E35"/>
    <mergeCell ref="D36:E36"/>
    <mergeCell ref="D37:E37"/>
    <mergeCell ref="D38:E3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341F-190E-4764-98F3-19711D269E20}">
  <dimension ref="A1:H46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23" sqref="F23"/>
    </sheetView>
  </sheetViews>
  <sheetFormatPr defaultRowHeight="15" x14ac:dyDescent="0.25"/>
  <cols>
    <col min="1" max="1" width="2.28515625" customWidth="1"/>
    <col min="2" max="2" width="92" bestFit="1" customWidth="1"/>
    <col min="3" max="6" width="17.140625" customWidth="1"/>
    <col min="7" max="7" width="17.28515625" customWidth="1"/>
    <col min="8" max="8" width="17.140625" customWidth="1"/>
    <col min="12" max="12" width="9.140625" customWidth="1"/>
  </cols>
  <sheetData>
    <row r="1" spans="1:8" ht="15" customHeight="1" x14ac:dyDescent="0.25">
      <c r="A1" s="106"/>
      <c r="B1" s="107" t="s">
        <v>21</v>
      </c>
      <c r="C1" s="107"/>
      <c r="D1" s="107"/>
      <c r="E1" s="107"/>
      <c r="F1" s="107"/>
      <c r="G1" s="107"/>
      <c r="H1" s="107"/>
    </row>
    <row r="2" spans="1:8" ht="15" customHeight="1" x14ac:dyDescent="0.25">
      <c r="A2" s="106"/>
      <c r="B2" s="107"/>
      <c r="C2" s="107"/>
      <c r="D2" s="107"/>
      <c r="E2" s="107"/>
      <c r="F2" s="107"/>
      <c r="G2" s="107"/>
      <c r="H2" s="107"/>
    </row>
    <row r="3" spans="1:8" ht="15.75" x14ac:dyDescent="0.25">
      <c r="A3" s="106"/>
      <c r="B3" s="108" t="s">
        <v>92</v>
      </c>
      <c r="C3" s="108"/>
      <c r="D3" s="108"/>
      <c r="E3" s="108"/>
      <c r="F3" s="108"/>
      <c r="G3" s="108"/>
      <c r="H3" s="108"/>
    </row>
    <row r="4" spans="1:8" x14ac:dyDescent="0.25">
      <c r="A4" s="106"/>
      <c r="B4" s="109" t="s">
        <v>19</v>
      </c>
      <c r="C4" s="109"/>
      <c r="D4" s="109"/>
      <c r="E4" s="109"/>
      <c r="F4" s="109"/>
      <c r="G4" s="109"/>
      <c r="H4" s="109"/>
    </row>
    <row r="5" spans="1:8" x14ac:dyDescent="0.25">
      <c r="A5" s="106"/>
      <c r="B5" s="3" t="s">
        <v>0</v>
      </c>
      <c r="C5" s="3">
        <v>2024</v>
      </c>
      <c r="D5" s="3">
        <v>2025</v>
      </c>
      <c r="E5" s="3">
        <v>2026</v>
      </c>
      <c r="F5" s="3">
        <v>2027</v>
      </c>
      <c r="G5" s="3">
        <v>2028</v>
      </c>
      <c r="H5" s="3">
        <v>2029</v>
      </c>
    </row>
    <row r="6" spans="1:8" x14ac:dyDescent="0.25">
      <c r="A6" s="106"/>
    </row>
    <row r="7" spans="1:8" x14ac:dyDescent="0.25">
      <c r="A7" s="106"/>
      <c r="B7" s="32" t="s">
        <v>41</v>
      </c>
      <c r="C7" s="23"/>
      <c r="D7" s="23"/>
      <c r="E7" s="23"/>
    </row>
    <row r="8" spans="1:8" x14ac:dyDescent="0.25">
      <c r="A8" s="106"/>
      <c r="B8" s="25" t="s">
        <v>61</v>
      </c>
      <c r="C8" s="30">
        <f>'HDFC IS'!C21+'HDFC IS'!C18+'HDFC IS'!C20-345.38</f>
        <v>75184.140000000029</v>
      </c>
      <c r="D8" s="30">
        <f>'HDFC IS'!D21+'HDFC IS'!D18+'HDFC IS'!D20-976.74</f>
        <v>93594.129999999961</v>
      </c>
      <c r="E8" s="30">
        <f>'HDFC IS'!E21+'HDFC IS'!E18+'HDFC IS'!E20-768.9</f>
        <v>98947.960000000036</v>
      </c>
      <c r="F8" s="46">
        <f>'HDFC IS Forecasting'!F17+'HDFC IS Forecasting'!F20</f>
        <v>119995.74390588482</v>
      </c>
      <c r="G8" s="46">
        <f>'HDFC IS Forecasting'!G17+'HDFC IS Forecasting'!G20</f>
        <v>135689.78203897423</v>
      </c>
      <c r="H8" s="46">
        <f>'HDFC IS Forecasting'!H17+'HDFC IS Forecasting'!H20</f>
        <v>153385.8000879403</v>
      </c>
    </row>
    <row r="9" spans="1:8" x14ac:dyDescent="0.25">
      <c r="A9" s="106"/>
      <c r="B9" s="23" t="s">
        <v>42</v>
      </c>
      <c r="C9" s="29">
        <v>3092.08</v>
      </c>
      <c r="D9" s="29">
        <v>3805.23</v>
      </c>
      <c r="E9" s="29">
        <v>4194.8999999999996</v>
      </c>
      <c r="F9" s="37">
        <f>E9*(1+$C$37)</f>
        <v>4893.4377387936165</v>
      </c>
      <c r="G9" s="37">
        <f>F9*(1+$C$37)</f>
        <v>5708.2964798802323</v>
      </c>
      <c r="H9" s="37">
        <f>G9*(1+$C$37)</f>
        <v>6658.8460794938346</v>
      </c>
    </row>
    <row r="10" spans="1:8" x14ac:dyDescent="0.25">
      <c r="A10" s="106"/>
      <c r="B10" s="23" t="s">
        <v>44</v>
      </c>
      <c r="C10" s="29">
        <v>13342.18</v>
      </c>
      <c r="D10" s="29">
        <v>20242.8</v>
      </c>
      <c r="E10" s="29">
        <v>30402.47</v>
      </c>
      <c r="F10" s="40">
        <f>$C$38*'HDFC IS Forecasting'!F11</f>
        <v>25267.659897017835</v>
      </c>
      <c r="G10" s="40">
        <f>$C$38*'HDFC IS Forecasting'!G11</f>
        <v>27943.277192063339</v>
      </c>
      <c r="H10" s="40">
        <f>$C$38*'HDFC IS Forecasting'!H11</f>
        <v>30906.942082238311</v>
      </c>
    </row>
    <row r="11" spans="1:8" x14ac:dyDescent="0.25">
      <c r="A11" s="106"/>
      <c r="B11" s="23" t="s">
        <v>43</v>
      </c>
      <c r="C11" s="29">
        <v>-22842.84</v>
      </c>
      <c r="D11" s="29">
        <v>29308.36</v>
      </c>
      <c r="E11" s="29">
        <v>-22656.37</v>
      </c>
      <c r="F11" s="37">
        <f>E11*(1+$C$39)</f>
        <v>23291.6319347026</v>
      </c>
      <c r="G11" s="37">
        <f t="shared" ref="G11:H11" si="0">F11*(1+$C$39)</f>
        <v>-23944.705978127033</v>
      </c>
      <c r="H11" s="37">
        <f t="shared" si="0"/>
        <v>24616.091563971098</v>
      </c>
    </row>
    <row r="12" spans="1:8" x14ac:dyDescent="0.25">
      <c r="A12" s="106"/>
      <c r="B12" s="23" t="s">
        <v>45</v>
      </c>
      <c r="C12" s="29">
        <v>-49706.22</v>
      </c>
      <c r="D12" s="29">
        <v>-19708.68</v>
      </c>
      <c r="E12" s="29">
        <v>2617.42</v>
      </c>
      <c r="F12" s="40">
        <f>$C$40*'HDFC BS Forecasting'!F21</f>
        <v>-28476.546150194132</v>
      </c>
      <c r="G12" s="40">
        <f>$C$40*'HDFC BS Forecasting'!G21</f>
        <v>-31026.278542945754</v>
      </c>
      <c r="H12" s="40">
        <f>$C$40*'HDFC BS Forecasting'!H21</f>
        <v>-33804.308821275139</v>
      </c>
    </row>
    <row r="13" spans="1:8" x14ac:dyDescent="0.25">
      <c r="A13" s="106"/>
      <c r="B13" s="23"/>
      <c r="C13" s="23"/>
      <c r="D13" s="23"/>
      <c r="E13" s="23"/>
      <c r="F13" s="23"/>
      <c r="G13" s="23"/>
      <c r="H13" s="23"/>
    </row>
    <row r="14" spans="1:8" x14ac:dyDescent="0.25">
      <c r="A14" s="106"/>
      <c r="B14" s="25" t="s">
        <v>46</v>
      </c>
      <c r="C14" s="30">
        <f>C8+C9+C1+C10+C11+C12</f>
        <v>19069.340000000026</v>
      </c>
      <c r="D14" s="30">
        <f>D8+D9+D1+D10+D11+D12</f>
        <v>127241.83999999997</v>
      </c>
      <c r="E14" s="30">
        <f>E8+E9+E1+E10+E11+E12</f>
        <v>113506.38000000002</v>
      </c>
      <c r="F14" s="39">
        <f>SUM(F8:F12)</f>
        <v>144971.92732620475</v>
      </c>
      <c r="G14" s="39">
        <f>SUM(G8:G12)</f>
        <v>114370.37118984501</v>
      </c>
      <c r="H14" s="39">
        <f>SUM(H8:H12)</f>
        <v>181763.37099236841</v>
      </c>
    </row>
    <row r="15" spans="1:8" x14ac:dyDescent="0.25">
      <c r="A15" s="106"/>
      <c r="B15" s="23"/>
      <c r="C15" s="23"/>
      <c r="D15" s="23"/>
      <c r="E15" s="23"/>
      <c r="F15" s="23"/>
      <c r="G15" s="23"/>
      <c r="H15" s="23"/>
    </row>
    <row r="16" spans="1:8" x14ac:dyDescent="0.25">
      <c r="A16" s="106"/>
      <c r="B16" s="32" t="s">
        <v>47</v>
      </c>
      <c r="C16" s="23"/>
      <c r="D16" s="23"/>
      <c r="E16" s="23"/>
      <c r="F16" s="23"/>
      <c r="G16" s="23"/>
      <c r="H16" s="23"/>
    </row>
    <row r="17" spans="1:8" x14ac:dyDescent="0.25">
      <c r="A17" s="106"/>
      <c r="B17" s="23" t="s">
        <v>49</v>
      </c>
      <c r="C17" s="34" t="s">
        <v>62</v>
      </c>
      <c r="D17" s="33" t="s">
        <v>62</v>
      </c>
      <c r="E17" s="34" t="s">
        <v>62</v>
      </c>
      <c r="F17" s="34" t="s">
        <v>62</v>
      </c>
      <c r="G17" s="34" t="s">
        <v>62</v>
      </c>
      <c r="H17" s="34" t="s">
        <v>62</v>
      </c>
    </row>
    <row r="18" spans="1:8" x14ac:dyDescent="0.25">
      <c r="A18" s="106"/>
      <c r="B18" s="23" t="s">
        <v>48</v>
      </c>
      <c r="C18" s="29">
        <v>9500.67</v>
      </c>
      <c r="D18" s="29">
        <v>192</v>
      </c>
      <c r="E18" s="29">
        <v>9806</v>
      </c>
      <c r="F18" s="37">
        <f t="shared" ref="F18:H18" si="1">E18*(1+$C$41)</f>
        <v>11074.798453941554</v>
      </c>
      <c r="G18" s="37">
        <f t="shared" si="1"/>
        <v>12507.766754581506</v>
      </c>
      <c r="H18" s="37">
        <f t="shared" si="1"/>
        <v>14126.146840291744</v>
      </c>
    </row>
    <row r="19" spans="1:8" x14ac:dyDescent="0.25">
      <c r="A19" s="106"/>
      <c r="B19" s="23" t="s">
        <v>63</v>
      </c>
      <c r="C19" s="29">
        <v>-4186.8999999999996</v>
      </c>
      <c r="D19" s="29">
        <v>-3975.17</v>
      </c>
      <c r="E19" s="29">
        <v>-3362.41</v>
      </c>
      <c r="F19" s="40">
        <f>-$C$42*'HDFC BS Forecasting'!E22</f>
        <v>-4417.8226120749923</v>
      </c>
      <c r="G19" s="40">
        <f>-$C$42*'SBI BS Forecasting'!F22</f>
        <v>-16203.309039156133</v>
      </c>
      <c r="H19" s="40">
        <f>-$C$42*'SBI BS Forecasting'!G22</f>
        <v>-17053.925389413955</v>
      </c>
    </row>
    <row r="20" spans="1:8" x14ac:dyDescent="0.25">
      <c r="A20" s="106"/>
      <c r="B20" s="23" t="s">
        <v>51</v>
      </c>
      <c r="C20" s="34" t="s">
        <v>62</v>
      </c>
      <c r="D20" s="29">
        <v>-67.47</v>
      </c>
      <c r="E20" s="29">
        <v>-80.87</v>
      </c>
      <c r="F20" s="37">
        <f>$C$43</f>
        <v>-80.87</v>
      </c>
      <c r="G20" s="37">
        <f>$C$43</f>
        <v>-80.87</v>
      </c>
      <c r="H20" s="37">
        <f>$C$43</f>
        <v>-80.87</v>
      </c>
    </row>
    <row r="21" spans="1:8" x14ac:dyDescent="0.25">
      <c r="A21" s="106"/>
      <c r="B21" s="25" t="s">
        <v>52</v>
      </c>
      <c r="C21" s="30">
        <f>SUM(C17:C20)</f>
        <v>5313.77</v>
      </c>
      <c r="D21" s="30">
        <f t="shared" ref="D21:H21" si="2">SUM(D17:D20)</f>
        <v>-3850.64</v>
      </c>
      <c r="E21" s="30">
        <f t="shared" si="2"/>
        <v>6362.72</v>
      </c>
      <c r="F21" s="39">
        <f t="shared" si="2"/>
        <v>6576.1058418665616</v>
      </c>
      <c r="G21" s="39">
        <f t="shared" si="2"/>
        <v>-3776.4122845746269</v>
      </c>
      <c r="H21" s="39">
        <f t="shared" si="2"/>
        <v>-3008.6485491222111</v>
      </c>
    </row>
    <row r="22" spans="1:8" x14ac:dyDescent="0.25">
      <c r="A22" s="106"/>
      <c r="B22" s="23"/>
      <c r="C22" s="23"/>
      <c r="D22" s="23"/>
      <c r="E22" s="23"/>
      <c r="F22" s="23"/>
      <c r="G22" s="23"/>
      <c r="H22" s="23"/>
    </row>
    <row r="23" spans="1:8" x14ac:dyDescent="0.25">
      <c r="A23" s="106"/>
      <c r="B23" s="32" t="s">
        <v>53</v>
      </c>
      <c r="C23" s="23"/>
      <c r="D23" s="23"/>
      <c r="E23" s="23"/>
      <c r="F23" s="23"/>
      <c r="G23" s="23"/>
      <c r="H23" s="23"/>
    </row>
    <row r="24" spans="1:8" x14ac:dyDescent="0.25">
      <c r="A24" s="106"/>
      <c r="B24" s="23" t="s">
        <v>54</v>
      </c>
      <c r="C24" s="29">
        <v>-8404.42</v>
      </c>
      <c r="D24" s="29">
        <v>-14826.19</v>
      </c>
      <c r="E24" s="29">
        <v>-20705.98</v>
      </c>
      <c r="F24" s="40">
        <f>-$C$44*'HDFC IS Forecasting'!F21</f>
        <v>-18632.632833995845</v>
      </c>
      <c r="G24" s="40">
        <f>-$C$44*'HDFC IS Forecasting'!G21</f>
        <v>-21122.771518374073</v>
      </c>
      <c r="H24" s="40">
        <f>-$C$44*'HDFC IS Forecasting'!H21</f>
        <v>-23934.949910143361</v>
      </c>
    </row>
    <row r="25" spans="1:8" x14ac:dyDescent="0.25">
      <c r="A25" s="106"/>
      <c r="B25" s="29" t="s">
        <v>55</v>
      </c>
      <c r="C25" s="29">
        <v>4421.3599999999997</v>
      </c>
      <c r="D25" s="29">
        <v>-87651.35</v>
      </c>
      <c r="E25" s="29">
        <v>-38298.870000000003</v>
      </c>
      <c r="F25" s="37">
        <f>E25*(1+$C$45)</f>
        <v>-42451.606690201421</v>
      </c>
      <c r="G25" s="37">
        <f>F25*(1+$C$45)</f>
        <v>-47054.623558855761</v>
      </c>
      <c r="H25" s="37">
        <f>G25*(1+$C$45)</f>
        <v>-52156.744370683278</v>
      </c>
    </row>
    <row r="26" spans="1:8" x14ac:dyDescent="0.25">
      <c r="A26" s="106"/>
      <c r="B26" s="25" t="s">
        <v>56</v>
      </c>
      <c r="C26" s="35">
        <f t="shared" ref="C26:D26" si="3">SUM(C24:C25)</f>
        <v>-3983.0600000000004</v>
      </c>
      <c r="D26" s="35">
        <f t="shared" si="3"/>
        <v>-102477.54000000001</v>
      </c>
      <c r="E26" s="35">
        <f>SUM(E24:E25)</f>
        <v>-59004.850000000006</v>
      </c>
      <c r="F26" s="48">
        <f t="shared" ref="F26:H26" si="4">SUM(F24:F25)</f>
        <v>-61084.23952419727</v>
      </c>
      <c r="G26" s="48">
        <f t="shared" si="4"/>
        <v>-68177.395077229827</v>
      </c>
      <c r="H26" s="48">
        <f t="shared" si="4"/>
        <v>-76091.694280826632</v>
      </c>
    </row>
    <row r="27" spans="1:8" x14ac:dyDescent="0.25">
      <c r="B27" s="23"/>
      <c r="C27" s="23"/>
      <c r="D27" s="23"/>
      <c r="E27" s="23"/>
      <c r="F27" s="23"/>
      <c r="G27" s="23"/>
      <c r="H27" s="23"/>
    </row>
    <row r="28" spans="1:8" x14ac:dyDescent="0.25">
      <c r="B28" s="23" t="s">
        <v>58</v>
      </c>
      <c r="C28" s="23">
        <v>104.94</v>
      </c>
      <c r="D28" s="23">
        <v>199.73</v>
      </c>
      <c r="E28" s="31">
        <v>1113.9000000000001</v>
      </c>
      <c r="F28" s="37">
        <f>$C$46</f>
        <v>1113.9000000000001</v>
      </c>
      <c r="G28" s="37">
        <f>$C$46</f>
        <v>1113.9000000000001</v>
      </c>
      <c r="H28" s="37">
        <f>$C$46</f>
        <v>1113.9000000000001</v>
      </c>
    </row>
    <row r="29" spans="1:8" x14ac:dyDescent="0.25">
      <c r="B29" s="25" t="s">
        <v>57</v>
      </c>
      <c r="C29" s="35">
        <f t="shared" ref="C29:D29" si="5">C14+C21+C26+C28</f>
        <v>20504.990000000023</v>
      </c>
      <c r="D29" s="35">
        <f t="shared" si="5"/>
        <v>21113.389999999959</v>
      </c>
      <c r="E29" s="35">
        <f>E14+E21+E26+E28</f>
        <v>61978.150000000016</v>
      </c>
      <c r="F29" s="48">
        <f t="shared" ref="F29:H29" si="6">F14+F21+F26+F28</f>
        <v>91577.693643874023</v>
      </c>
      <c r="G29" s="48">
        <f t="shared" si="6"/>
        <v>43530.463828040556</v>
      </c>
      <c r="H29" s="48">
        <f t="shared" si="6"/>
        <v>103776.92816241956</v>
      </c>
    </row>
    <row r="30" spans="1:8" x14ac:dyDescent="0.25">
      <c r="B30" s="23"/>
      <c r="C30" s="23"/>
      <c r="D30" s="23"/>
      <c r="E30" s="23"/>
      <c r="F30" s="23"/>
      <c r="G30" s="23"/>
      <c r="H30" s="23"/>
    </row>
    <row r="31" spans="1:8" x14ac:dyDescent="0.25">
      <c r="B31" s="27" t="s">
        <v>59</v>
      </c>
      <c r="C31" s="28">
        <v>208329.52</v>
      </c>
      <c r="D31" s="28">
        <f>'HDFC BS'!C18+'HDFC BS'!C19</f>
        <v>228834.51</v>
      </c>
      <c r="E31" s="28">
        <f>'HDFC BS'!D18+'HDFC BS'!D19</f>
        <v>249947.9</v>
      </c>
      <c r="F31" s="50">
        <f>'HDFC BS Forecasting'!E18+'HDFC BS Forecasting'!E19</f>
        <v>311926.05</v>
      </c>
      <c r="G31" s="50">
        <f>'HDFC BS Forecasting'!F18+'HDFC BS Forecasting'!F19</f>
        <v>403503.74364387401</v>
      </c>
      <c r="H31" s="50">
        <f>'HDFC BS Forecasting'!G18+'HDFC BS Forecasting'!G19</f>
        <v>447034.20747191459</v>
      </c>
    </row>
    <row r="32" spans="1:8" x14ac:dyDescent="0.25">
      <c r="B32" s="27" t="s">
        <v>60</v>
      </c>
      <c r="C32" s="36">
        <f>C29+C31</f>
        <v>228834.51</v>
      </c>
      <c r="D32" s="36">
        <f>D31+D29</f>
        <v>249947.89999999997</v>
      </c>
      <c r="E32" s="36">
        <f>E31+E29</f>
        <v>311926.05</v>
      </c>
      <c r="F32" s="51">
        <f>F31+F29</f>
        <v>403503.74364387401</v>
      </c>
      <c r="G32" s="51">
        <f>G31+G29</f>
        <v>447034.20747191459</v>
      </c>
      <c r="H32" s="51">
        <f>H31+H29</f>
        <v>550811.13563433418</v>
      </c>
    </row>
    <row r="35" spans="2:8" x14ac:dyDescent="0.25">
      <c r="B35" s="111" t="s">
        <v>65</v>
      </c>
      <c r="C35" s="111"/>
      <c r="D35" s="111"/>
      <c r="E35" s="111"/>
    </row>
    <row r="36" spans="2:8" x14ac:dyDescent="0.25">
      <c r="B36" s="41" t="s">
        <v>66</v>
      </c>
      <c r="C36" s="41" t="s">
        <v>67</v>
      </c>
      <c r="D36" s="115" t="s">
        <v>68</v>
      </c>
      <c r="E36" s="115"/>
    </row>
    <row r="37" spans="2:8" ht="15" customHeight="1" x14ac:dyDescent="0.25">
      <c r="B37" s="23" t="s">
        <v>93</v>
      </c>
      <c r="C37" s="42">
        <f>AVERAGE(D9/C9-1,E9/D9-1)</f>
        <v>0.16652071295945492</v>
      </c>
      <c r="D37" s="120" t="s">
        <v>122</v>
      </c>
      <c r="E37" s="120"/>
      <c r="F37" s="120"/>
      <c r="G37" s="120"/>
      <c r="H37" s="120"/>
    </row>
    <row r="38" spans="2:8" ht="15" customHeight="1" x14ac:dyDescent="0.25">
      <c r="B38" s="23" t="s">
        <v>94</v>
      </c>
      <c r="C38" s="42">
        <f>AVERAGE(C10/'HDFC IS Forecasting'!C11,D10/'HDFC IS Forecasting'!D11,E10/'HDFC IS Forecasting'!E11)</f>
        <v>7.3722186289464475E-2</v>
      </c>
      <c r="D38" s="120" t="s">
        <v>95</v>
      </c>
      <c r="E38" s="120"/>
      <c r="F38" s="120"/>
      <c r="G38" s="120"/>
      <c r="H38" s="120"/>
    </row>
    <row r="39" spans="2:8" ht="15" customHeight="1" x14ac:dyDescent="0.25">
      <c r="B39" s="23" t="s">
        <v>96</v>
      </c>
      <c r="C39" s="42">
        <f>AVERAGE(D11/C11-1,E11/D11-1)</f>
        <v>-2.0280389989527272</v>
      </c>
      <c r="D39" s="120" t="s">
        <v>123</v>
      </c>
      <c r="E39" s="120"/>
      <c r="F39" s="120"/>
      <c r="G39" s="120"/>
      <c r="H39" s="120"/>
    </row>
    <row r="40" spans="2:8" ht="15" customHeight="1" x14ac:dyDescent="0.25">
      <c r="B40" s="23" t="s">
        <v>97</v>
      </c>
      <c r="C40" s="42">
        <f>AVERAGE(C12/'HDFC BS Forecasting'!C21,D12/'HDFC BS Forecasting'!D21,E12/'HDFC BS Forecasting'!E21)</f>
        <v>-8.5670951375985006E-3</v>
      </c>
      <c r="D40" s="120" t="s">
        <v>98</v>
      </c>
      <c r="E40" s="120"/>
      <c r="F40" s="120"/>
      <c r="G40" s="120"/>
      <c r="H40" s="120"/>
    </row>
    <row r="41" spans="2:8" ht="15" customHeight="1" x14ac:dyDescent="0.25">
      <c r="B41" s="23" t="s">
        <v>99</v>
      </c>
      <c r="C41" s="42">
        <f>'HDFC BS Forecasting'!$C$36</f>
        <v>0.1293900116195752</v>
      </c>
      <c r="D41" s="120" t="s">
        <v>138</v>
      </c>
      <c r="E41" s="120"/>
      <c r="F41" s="120"/>
      <c r="G41" s="120"/>
      <c r="H41" s="120"/>
    </row>
    <row r="42" spans="2:8" ht="15" customHeight="1" x14ac:dyDescent="0.25">
      <c r="B42" s="23" t="s">
        <v>101</v>
      </c>
      <c r="C42" s="42">
        <f>AVERAGE(-D19/'HDFC BS Forecasting'!C22,-E19/'HDFC BS Forecasting'!D22)</f>
        <v>0.26788336431326465</v>
      </c>
      <c r="D42" s="120" t="s">
        <v>102</v>
      </c>
      <c r="E42" s="120"/>
      <c r="F42" s="120"/>
      <c r="G42" s="120"/>
      <c r="H42" s="120"/>
    </row>
    <row r="43" spans="2:8" ht="15" customHeight="1" x14ac:dyDescent="0.25">
      <c r="B43" s="23" t="s">
        <v>103</v>
      </c>
      <c r="C43" s="52">
        <f>E20</f>
        <v>-80.87</v>
      </c>
      <c r="D43" s="120" t="s">
        <v>104</v>
      </c>
      <c r="E43" s="120"/>
      <c r="F43" s="120"/>
      <c r="G43" s="120"/>
      <c r="H43" s="120"/>
    </row>
    <row r="44" spans="2:8" ht="15" customHeight="1" x14ac:dyDescent="0.25">
      <c r="B44" s="23" t="s">
        <v>105</v>
      </c>
      <c r="C44" s="42">
        <f>AVERAGE(-C24/'HDFC IS Forecasting'!C21,-D24/'HDFC IS Forecasting'!D21,-E24/'HDFC IS Forecasting'!E21)</f>
        <v>0.20432610527223574</v>
      </c>
      <c r="D44" s="120" t="s">
        <v>106</v>
      </c>
      <c r="E44" s="120"/>
      <c r="F44" s="120"/>
      <c r="G44" s="120"/>
      <c r="H44" s="120"/>
    </row>
    <row r="45" spans="2:8" ht="15" customHeight="1" x14ac:dyDescent="0.25">
      <c r="B45" s="23" t="s">
        <v>107</v>
      </c>
      <c r="C45" s="42">
        <f>AVERAGE('SBI BS Forecasting'!$C$33,'SBI BS Forecasting'!$C$34)</f>
        <v>0.10842974453819185</v>
      </c>
      <c r="D45" s="120" t="s">
        <v>108</v>
      </c>
      <c r="E45" s="120"/>
      <c r="F45" s="120"/>
      <c r="G45" s="120"/>
      <c r="H45" s="120"/>
    </row>
    <row r="46" spans="2:8" ht="15" customHeight="1" x14ac:dyDescent="0.25">
      <c r="B46" s="23" t="s">
        <v>109</v>
      </c>
      <c r="C46" s="52">
        <f>E28</f>
        <v>1113.9000000000001</v>
      </c>
      <c r="D46" s="120" t="s">
        <v>110</v>
      </c>
      <c r="E46" s="120"/>
      <c r="F46" s="120"/>
      <c r="G46" s="120"/>
      <c r="H46" s="120"/>
    </row>
  </sheetData>
  <mergeCells count="16">
    <mergeCell ref="D40:H40"/>
    <mergeCell ref="A1:A26"/>
    <mergeCell ref="B1:H2"/>
    <mergeCell ref="B3:H3"/>
    <mergeCell ref="B4:H4"/>
    <mergeCell ref="B35:E35"/>
    <mergeCell ref="D36:E36"/>
    <mergeCell ref="D37:H37"/>
    <mergeCell ref="D38:H38"/>
    <mergeCell ref="D39:H39"/>
    <mergeCell ref="D45:H45"/>
    <mergeCell ref="D46:H46"/>
    <mergeCell ref="D41:H41"/>
    <mergeCell ref="D42:H42"/>
    <mergeCell ref="D43:H43"/>
    <mergeCell ref="D44:H44"/>
  </mergeCells>
  <pageMargins left="0.7" right="0.7" top="0.75" bottom="0.75" header="0.3" footer="0.3"/>
  <ignoredErrors>
    <ignoredError sqref="C38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6631-FD84-496B-8EB9-34D4DDB542C4}">
  <dimension ref="B1:K84"/>
  <sheetViews>
    <sheetView workbookViewId="0">
      <selection activeCell="H7" sqref="H7"/>
    </sheetView>
  </sheetViews>
  <sheetFormatPr defaultRowHeight="15" x14ac:dyDescent="0.25"/>
  <cols>
    <col min="1" max="1" width="1.7109375" customWidth="1"/>
    <col min="2" max="2" width="87.140625" bestFit="1" customWidth="1"/>
    <col min="3" max="3" width="19.85546875" customWidth="1"/>
    <col min="4" max="4" width="18.140625" customWidth="1"/>
    <col min="5" max="5" width="4.7109375" customWidth="1"/>
    <col min="6" max="6" width="2.42578125" customWidth="1"/>
    <col min="7" max="7" width="87.140625" bestFit="1" customWidth="1"/>
    <col min="8" max="8" width="15.140625" customWidth="1"/>
    <col min="9" max="9" width="15.42578125" customWidth="1"/>
    <col min="10" max="10" width="1.140625" customWidth="1"/>
    <col min="11" max="11" width="167.42578125" bestFit="1" customWidth="1"/>
    <col min="14" max="17" width="9.140625" customWidth="1"/>
  </cols>
  <sheetData>
    <row r="1" spans="2:11" x14ac:dyDescent="0.25">
      <c r="B1" s="116" t="s">
        <v>20</v>
      </c>
      <c r="C1" s="116"/>
      <c r="D1" s="116"/>
      <c r="E1" s="119" t="s">
        <v>64</v>
      </c>
      <c r="F1" s="21"/>
      <c r="G1" s="116" t="s">
        <v>21</v>
      </c>
      <c r="H1" s="116"/>
      <c r="I1" s="116"/>
    </row>
    <row r="2" spans="2:11" x14ac:dyDescent="0.25">
      <c r="B2" s="116"/>
      <c r="C2" s="116"/>
      <c r="D2" s="116"/>
      <c r="E2" s="119"/>
      <c r="F2" s="21"/>
      <c r="G2" s="116"/>
      <c r="H2" s="116"/>
      <c r="I2" s="116"/>
    </row>
    <row r="3" spans="2:11" ht="15.75" x14ac:dyDescent="0.25">
      <c r="B3" s="117" t="s">
        <v>140</v>
      </c>
      <c r="C3" s="117"/>
      <c r="D3" s="117"/>
      <c r="E3" s="119"/>
      <c r="F3" s="21"/>
      <c r="G3" s="117" t="s">
        <v>140</v>
      </c>
      <c r="H3" s="117"/>
      <c r="I3" s="117"/>
    </row>
    <row r="4" spans="2:11" x14ac:dyDescent="0.25">
      <c r="B4" s="118" t="s">
        <v>19</v>
      </c>
      <c r="C4" s="118"/>
      <c r="D4" s="118"/>
      <c r="E4" s="119"/>
      <c r="F4" s="21"/>
      <c r="G4" s="118" t="s">
        <v>19</v>
      </c>
      <c r="H4" s="118"/>
      <c r="I4" s="118"/>
      <c r="K4" s="54" t="s">
        <v>188</v>
      </c>
    </row>
    <row r="5" spans="2:11" x14ac:dyDescent="0.25">
      <c r="B5" s="22" t="s">
        <v>0</v>
      </c>
      <c r="C5" s="22">
        <v>2025</v>
      </c>
      <c r="D5" s="22">
        <v>2026</v>
      </c>
      <c r="E5" s="119"/>
      <c r="F5" s="21"/>
      <c r="G5" s="22" t="s">
        <v>0</v>
      </c>
      <c r="H5" s="22">
        <v>2025</v>
      </c>
      <c r="I5" s="22">
        <v>2026</v>
      </c>
      <c r="K5" s="54" t="s">
        <v>189</v>
      </c>
    </row>
    <row r="6" spans="2:11" x14ac:dyDescent="0.25">
      <c r="B6" s="21"/>
      <c r="C6" s="21"/>
      <c r="D6" s="21"/>
      <c r="E6" s="21"/>
      <c r="F6" s="21"/>
      <c r="G6" s="21"/>
      <c r="H6" s="21"/>
      <c r="I6" s="21"/>
    </row>
    <row r="7" spans="2:11" x14ac:dyDescent="0.25">
      <c r="B7" s="23" t="s">
        <v>1</v>
      </c>
      <c r="C7" s="24">
        <f>('SBI IS'!D7-'SBI IS'!C7)/'SBI IS'!C7</f>
        <v>0.11640601966628446</v>
      </c>
      <c r="D7" s="24">
        <f>('SBI IS'!E7-'SBI IS'!D7)/'SBI IS'!D7</f>
        <v>5.021263278563632E-2</v>
      </c>
      <c r="E7" s="23"/>
      <c r="F7" s="23"/>
      <c r="G7" s="23" t="s">
        <v>1</v>
      </c>
      <c r="H7" s="24">
        <f>('HDFC IS'!D7-'HDFC IS'!C7)/'HDFC IS'!C7</f>
        <v>0.18585789578966277</v>
      </c>
      <c r="I7" s="24">
        <f>('HDFC IS'!E7-'HDFC IS'!D7)/'HDFC IS'!D7</f>
        <v>3.6411729875273684E-2</v>
      </c>
      <c r="K7" s="26" t="s">
        <v>124</v>
      </c>
    </row>
    <row r="8" spans="2:11" x14ac:dyDescent="0.25">
      <c r="B8" s="23" t="s">
        <v>3</v>
      </c>
      <c r="C8" s="24">
        <f>('SBI IS'!D8-'SBI IS'!C8)/'SBI IS'!C8</f>
        <v>0.15865062821058593</v>
      </c>
      <c r="D8" s="24">
        <f>('SBI IS'!E8-'SBI IS'!D8)/'SBI IS'!D8</f>
        <v>4.6724653616211864E-2</v>
      </c>
      <c r="E8" s="23"/>
      <c r="F8" s="23"/>
      <c r="G8" s="23" t="s">
        <v>3</v>
      </c>
      <c r="H8" s="24">
        <f>('HDFC IS'!D8-'HDFC IS'!C8)/'HDFC IS'!C8</f>
        <v>0.19304482882445712</v>
      </c>
      <c r="I8" s="24">
        <f>('HDFC IS'!E8-'HDFC IS'!D8)/'HDFC IS'!D8</f>
        <v>8.6845044596294968E-3</v>
      </c>
      <c r="K8" s="26" t="s">
        <v>125</v>
      </c>
    </row>
    <row r="9" spans="2:11" x14ac:dyDescent="0.25">
      <c r="B9" s="25" t="s">
        <v>9</v>
      </c>
      <c r="C9" s="24">
        <f>('SBI IS'!D9-'SBI IS'!C9)/'SBI IS'!C9</f>
        <v>5.5261985084516067E-2</v>
      </c>
      <c r="D9" s="24">
        <f>('SBI IS'!E9-'SBI IS'!D9)/'SBI IS'!D9</f>
        <v>5.5755684020263367E-2</v>
      </c>
      <c r="E9" s="23"/>
      <c r="F9" s="23"/>
      <c r="G9" s="25" t="s">
        <v>9</v>
      </c>
      <c r="H9" s="24">
        <f>('HDFC IS'!D9-'HDFC IS'!C9)/'HDFC IS'!C9</f>
        <v>0.17730427509065441</v>
      </c>
      <c r="I9" s="24">
        <f>('HDFC IS'!E9-'HDFC IS'!D9)/'HDFC IS'!D9</f>
        <v>6.9852852202317961E-2</v>
      </c>
      <c r="K9" s="26" t="s">
        <v>126</v>
      </c>
    </row>
    <row r="10" spans="2:11" x14ac:dyDescent="0.25">
      <c r="B10" s="23" t="s">
        <v>2</v>
      </c>
      <c r="C10" s="24">
        <f>('SBI IS'!D10-'SBI IS'!C10)/'SBI IS'!C10</f>
        <v>0.113550652989548</v>
      </c>
      <c r="D10" s="24">
        <f>('SBI IS'!E10-'SBI IS'!D10)/'SBI IS'!D10</f>
        <v>0.14263556250306061</v>
      </c>
      <c r="E10" s="23"/>
      <c r="F10" s="23"/>
      <c r="G10" s="23" t="s">
        <v>2</v>
      </c>
      <c r="H10" s="24">
        <f>('HDFC IS'!D10-'HDFC IS'!C10)/'HDFC IS'!C10</f>
        <v>8.2051457327652941E-2</v>
      </c>
      <c r="I10" s="24">
        <f>('HDFC IS'!E10-'HDFC IS'!D10)/'HDFC IS'!D10</f>
        <v>9.1410606584242882E-2</v>
      </c>
      <c r="K10" s="26" t="s">
        <v>127</v>
      </c>
    </row>
    <row r="11" spans="2:11" x14ac:dyDescent="0.25">
      <c r="B11" s="25" t="s">
        <v>8</v>
      </c>
      <c r="C11" s="24">
        <f>('SBI IS'!D11-'SBI IS'!C11)/'SBI IS'!C11</f>
        <v>8.2311611012896871E-2</v>
      </c>
      <c r="D11" s="24">
        <f>('SBI IS'!E11-'SBI IS'!D11)/'SBI IS'!D11</f>
        <v>9.723714056441729E-2</v>
      </c>
      <c r="E11" s="23"/>
      <c r="F11" s="23"/>
      <c r="G11" s="25" t="s">
        <v>8</v>
      </c>
      <c r="H11" s="24">
        <f>('HDFC IS'!D11-'HDFC IS'!C11)/'HDFC IS'!C11</f>
        <v>0.13064682835031557</v>
      </c>
      <c r="I11" s="24">
        <f>('HDFC IS'!E11-'HDFC IS'!D11)/'HDFC IS'!D11</f>
        <v>7.9958580139559601E-2</v>
      </c>
      <c r="K11" s="26" t="s">
        <v>128</v>
      </c>
    </row>
    <row r="12" spans="2:11" x14ac:dyDescent="0.25">
      <c r="B12" s="23"/>
      <c r="C12" s="24"/>
      <c r="D12" s="23"/>
      <c r="E12" s="23"/>
      <c r="F12" s="23"/>
      <c r="G12" s="23"/>
      <c r="H12" s="24"/>
      <c r="I12" s="24"/>
      <c r="K12" s="23"/>
    </row>
    <row r="13" spans="2:11" x14ac:dyDescent="0.25">
      <c r="B13" s="23" t="s">
        <v>4</v>
      </c>
      <c r="C13" s="24">
        <f>('SBI IS'!D13-'SBI IS'!C13)/'SBI IS'!C13</f>
        <v>2.8812952617057186E-3</v>
      </c>
      <c r="D13" s="24">
        <f>('SBI IS'!E13-'SBI IS'!D13)/'SBI IS'!D13</f>
        <v>0.11022759417164953</v>
      </c>
      <c r="E13" s="23"/>
      <c r="F13" s="23"/>
      <c r="G13" s="23" t="s">
        <v>4</v>
      </c>
      <c r="H13" s="24">
        <f>('HDFC IS'!D13-'HDFC IS'!C13)/'HDFC IS'!C13</f>
        <v>0.15982028949491744</v>
      </c>
      <c r="I13" s="24">
        <f>('HDFC IS'!E13-'HDFC IS'!D13)/'HDFC IS'!D13</f>
        <v>2.5870378466484548E-2</v>
      </c>
      <c r="K13" s="26" t="s">
        <v>129</v>
      </c>
    </row>
    <row r="14" spans="2:11" x14ac:dyDescent="0.25">
      <c r="B14" s="25" t="s">
        <v>10</v>
      </c>
      <c r="C14" s="24">
        <f>('SBI IS'!D14-'SBI IS'!C14)/'SBI IS'!C14</f>
        <v>0.27168064195685204</v>
      </c>
      <c r="D14" s="24">
        <f>('SBI IS'!E14-'SBI IS'!D14)/'SBI IS'!D14</f>
        <v>7.2813046994681108E-2</v>
      </c>
      <c r="E14" s="23"/>
      <c r="F14" s="23"/>
      <c r="G14" s="25" t="s">
        <v>10</v>
      </c>
      <c r="H14" s="24">
        <f>('HDFC IS'!D14-'HDFC IS'!C14)/'HDFC IS'!C14</f>
        <v>8.6918507586805874E-2</v>
      </c>
      <c r="I14" s="24">
        <f>('HDFC IS'!E14-'HDFC IS'!D14)/'HDFC IS'!D14</f>
        <v>0.16646953457929303</v>
      </c>
      <c r="K14" s="26" t="s">
        <v>130</v>
      </c>
    </row>
    <row r="15" spans="2:11" x14ac:dyDescent="0.25">
      <c r="B15" s="23"/>
      <c r="C15" s="24"/>
      <c r="D15" s="23"/>
      <c r="E15" s="23"/>
      <c r="F15" s="23"/>
      <c r="G15" s="23"/>
      <c r="H15" s="24"/>
      <c r="I15" s="24"/>
      <c r="K15" s="26"/>
    </row>
    <row r="16" spans="2:11" x14ac:dyDescent="0.25">
      <c r="B16" s="23" t="s">
        <v>11</v>
      </c>
      <c r="C16" s="24">
        <f>('SBI IS'!D16-'SBI IS'!C16)/'SBI IS'!C16</f>
        <v>1.5257911117225482</v>
      </c>
      <c r="D16" s="24">
        <f>('SBI IS'!E16-'SBI IS'!D16)/'SBI IS'!D16</f>
        <v>7.703133984236317E-2</v>
      </c>
      <c r="E16" s="23"/>
      <c r="F16" s="23"/>
      <c r="G16" s="23" t="s">
        <v>11</v>
      </c>
      <c r="H16" s="24">
        <f>('HDFC IS'!D16-'HDFC IS'!C16)/'HDFC IS'!C16</f>
        <v>-0.39188812680946955</v>
      </c>
      <c r="I16" s="24">
        <f>('HDFC IS'!E16-'HDFC IS'!D16)/'HDFC IS'!D16</f>
        <v>0.83523888679579872</v>
      </c>
      <c r="K16" s="26" t="s">
        <v>131</v>
      </c>
    </row>
    <row r="17" spans="2:11" x14ac:dyDescent="0.25">
      <c r="B17" s="25" t="s">
        <v>5</v>
      </c>
      <c r="C17" s="24">
        <f>('SBI IS'!D17-'SBI IS'!C17)/'SBI IS'!C17</f>
        <v>0.16577432778260953</v>
      </c>
      <c r="D17" s="24">
        <f>('SBI IS'!E17-'SBI IS'!D17)/'SBI IS'!D17</f>
        <v>7.2041245295863518E-2</v>
      </c>
      <c r="E17" s="23"/>
      <c r="F17" s="23"/>
      <c r="G17" s="25" t="s">
        <v>5</v>
      </c>
      <c r="H17" s="24">
        <f>('HDFC IS'!D17-'HDFC IS'!C17)/'HDFC IS'!C17</f>
        <v>0.25210473997451494</v>
      </c>
      <c r="I17" s="24">
        <f>('HDFC IS'!E17-'HDFC IS'!D17)/'HDFC IS'!D17</f>
        <v>5.4414112929277808E-2</v>
      </c>
      <c r="K17" s="26" t="s">
        <v>132</v>
      </c>
    </row>
    <row r="18" spans="2:11" x14ac:dyDescent="0.25">
      <c r="B18" s="23" t="s">
        <v>6</v>
      </c>
      <c r="C18" s="24">
        <f>('SBI IS'!D18-'SBI IS'!C18)/'SBI IS'!C18</f>
        <v>0.18381094443804766</v>
      </c>
      <c r="D18" s="24">
        <f>('SBI IS'!E18-'SBI IS'!D18)/'SBI IS'!D18</f>
        <v>5.5264087429711818E-2</v>
      </c>
      <c r="E18" s="23"/>
      <c r="F18" s="23"/>
      <c r="G18" s="23" t="s">
        <v>6</v>
      </c>
      <c r="H18" s="24">
        <f>('HDFC IS'!D18-'HDFC IS'!C18)/'HDFC IS'!C18</f>
        <v>1.0956717332703891</v>
      </c>
      <c r="I18" s="24">
        <f>('HDFC IS'!E18-'HDFC IS'!D18)/'HDFC IS'!D18</f>
        <v>-2.9970611479979332E-2</v>
      </c>
      <c r="K18" s="26" t="s">
        <v>133</v>
      </c>
    </row>
    <row r="19" spans="2:11" x14ac:dyDescent="0.25">
      <c r="B19" s="25" t="s">
        <v>7</v>
      </c>
      <c r="C19" s="24">
        <f>('SBI IS'!D19-'SBI IS'!C19)/'SBI IS'!C19</f>
        <v>0.15965914426317848</v>
      </c>
      <c r="D19" s="24">
        <f>('SBI IS'!E19-'SBI IS'!D19)/'SBI IS'!D19</f>
        <v>7.7847884004072887E-2</v>
      </c>
      <c r="E19" s="23"/>
      <c r="F19" s="23"/>
      <c r="G19" s="25" t="s">
        <v>7</v>
      </c>
      <c r="H19" s="24">
        <f>('HDFC IS'!D19-'HDFC IS'!C19)/'HDFC IS'!C19</f>
        <v>0.12214052699533109</v>
      </c>
      <c r="I19" s="24">
        <f>('HDFC IS'!E19-'HDFC IS'!D19)/'HDFC IS'!D19</f>
        <v>7.8693853786014581E-2</v>
      </c>
      <c r="K19" s="26" t="s">
        <v>134</v>
      </c>
    </row>
    <row r="20" spans="2:11" x14ac:dyDescent="0.25">
      <c r="B20" s="23" t="s">
        <v>12</v>
      </c>
      <c r="C20" s="24">
        <f>('SBI IS'!D20-'SBI IS'!C20)/'SBI IS'!C20</f>
        <v>7.1391874899432828E-2</v>
      </c>
      <c r="D20" s="24">
        <f>('SBI IS'!E20-'SBI IS'!D20)/'SBI IS'!D20</f>
        <v>-5.4945598749201723E-3</v>
      </c>
      <c r="E20" s="23"/>
      <c r="F20" s="23"/>
      <c r="G20" s="23" t="s">
        <v>12</v>
      </c>
      <c r="H20" s="24">
        <f>('HDFC IS'!D20-'HDFC IS'!C20)/'HDFC IS'!C20</f>
        <v>0.91260130303511844</v>
      </c>
      <c r="I20" s="24">
        <f>('HDFC IS'!E20-'HDFC IS'!D20)/'HDFC IS'!D20</f>
        <v>0.2060371914559351</v>
      </c>
      <c r="K20" s="26" t="s">
        <v>135</v>
      </c>
    </row>
    <row r="21" spans="2:11" x14ac:dyDescent="0.25">
      <c r="B21" s="23" t="s">
        <v>13</v>
      </c>
      <c r="C21" s="24">
        <f>('SBI IS'!D21-'SBI IS'!C21)/'SBI IS'!C21</f>
        <v>0.20438811751878219</v>
      </c>
      <c r="D21" s="24">
        <f>('SBI IS'!E21-'SBI IS'!D21)/'SBI IS'!D21</f>
        <v>0.13696640536371982</v>
      </c>
      <c r="E21" s="23"/>
      <c r="F21" s="23"/>
      <c r="G21" s="23" t="s">
        <v>13</v>
      </c>
      <c r="H21" s="24">
        <f>('HDFC IS'!D21-'HDFC IS'!C21)/'HDFC IS'!C21</f>
        <v>0.10505769095083356</v>
      </c>
      <c r="I21" s="24">
        <f>('HDFC IS'!E21-'HDFC IS'!D21)/'HDFC IS'!D21</f>
        <v>7.3930691565814721E-2</v>
      </c>
      <c r="K21" s="26" t="s">
        <v>136</v>
      </c>
    </row>
    <row r="22" spans="2:11" x14ac:dyDescent="0.25">
      <c r="B22" s="25" t="s">
        <v>14</v>
      </c>
      <c r="C22" s="24">
        <f>('SBI IS'!D22-'SBI IS'!C22)/'SBI IS'!C22</f>
        <v>0.15617091839954855</v>
      </c>
      <c r="D22" s="24">
        <f>('SBI IS'!E22-'SBI IS'!D22)/'SBI IS'!D22</f>
        <v>7.3973059014937476E-2</v>
      </c>
      <c r="E22" s="23"/>
      <c r="F22" s="23"/>
      <c r="G22" s="25" t="s">
        <v>14</v>
      </c>
      <c r="H22" s="24">
        <f>('HDFC IS'!D21-'HDFC IS'!C21)/'HDFC IS'!C21</f>
        <v>0.10505769095083356</v>
      </c>
      <c r="I22" s="24">
        <f>('HDFC IS'!E21-'HDFC IS'!D21)/'HDFC IS'!D21</f>
        <v>7.3930691565814721E-2</v>
      </c>
      <c r="K22" s="26" t="s">
        <v>137</v>
      </c>
    </row>
    <row r="23" spans="2:11" x14ac:dyDescent="0.25">
      <c r="C23" s="4"/>
    </row>
    <row r="26" spans="2:11" ht="15" customHeight="1" x14ac:dyDescent="0.25">
      <c r="B26" s="107" t="s">
        <v>20</v>
      </c>
      <c r="C26" s="107"/>
      <c r="D26" s="107"/>
      <c r="G26" s="107" t="s">
        <v>21</v>
      </c>
      <c r="H26" s="107"/>
      <c r="I26" s="107"/>
    </row>
    <row r="27" spans="2:11" ht="15" customHeight="1" x14ac:dyDescent="0.25">
      <c r="B27" s="107"/>
      <c r="C27" s="107"/>
      <c r="D27" s="107"/>
      <c r="G27" s="107"/>
      <c r="H27" s="107"/>
      <c r="I27" s="107"/>
    </row>
    <row r="28" spans="2:11" ht="15.75" x14ac:dyDescent="0.25">
      <c r="B28" s="108" t="s">
        <v>139</v>
      </c>
      <c r="C28" s="108"/>
      <c r="D28" s="108"/>
      <c r="G28" s="108" t="s">
        <v>139</v>
      </c>
      <c r="H28" s="108"/>
      <c r="I28" s="108"/>
    </row>
    <row r="29" spans="2:11" x14ac:dyDescent="0.25">
      <c r="B29" s="109" t="s">
        <v>19</v>
      </c>
      <c r="C29" s="109"/>
      <c r="D29" s="109"/>
      <c r="G29" s="109" t="s">
        <v>19</v>
      </c>
      <c r="H29" s="109"/>
      <c r="I29" s="109"/>
      <c r="K29" s="54" t="s">
        <v>156</v>
      </c>
    </row>
    <row r="30" spans="2:11" x14ac:dyDescent="0.25">
      <c r="B30" s="3" t="s">
        <v>0</v>
      </c>
      <c r="C30" s="3">
        <v>2025</v>
      </c>
      <c r="D30" s="3">
        <v>2026</v>
      </c>
      <c r="G30" s="3" t="s">
        <v>0</v>
      </c>
      <c r="H30" s="3">
        <v>2025</v>
      </c>
      <c r="I30" s="3">
        <v>2026</v>
      </c>
      <c r="K30" s="54" t="s">
        <v>157</v>
      </c>
    </row>
    <row r="31" spans="2:11" x14ac:dyDescent="0.25">
      <c r="K31" s="26"/>
    </row>
    <row r="32" spans="2:11" x14ac:dyDescent="0.25">
      <c r="B32" s="27" t="s">
        <v>22</v>
      </c>
      <c r="C32" s="28"/>
      <c r="D32" s="28"/>
      <c r="G32" s="27" t="s">
        <v>22</v>
      </c>
      <c r="H32" s="28"/>
      <c r="I32" s="28"/>
      <c r="K32" s="26"/>
    </row>
    <row r="33" spans="2:11" x14ac:dyDescent="0.25">
      <c r="B33" s="23" t="s">
        <v>23</v>
      </c>
      <c r="C33" s="24">
        <f>('SBI BS'!D8-'SBI BS'!C8)/'SBI BS'!C8</f>
        <v>8.9639751288521823E-7</v>
      </c>
      <c r="D33" s="24">
        <f>('SBI BS'!E8-'SBI BS'!D8)/'SBI BS'!D8</f>
        <v>3.4286950032606386E-2</v>
      </c>
      <c r="G33" s="23" t="s">
        <v>23</v>
      </c>
      <c r="H33" s="24">
        <f>('HDFC BS'!D8-'HDFC BS'!C8)/'HDFC BS'!C8</f>
        <v>7.2792849715014969E-3</v>
      </c>
      <c r="I33" s="24">
        <f>('HDFC BS'!E8-'HDFC BS'!D8)/'HDFC BS'!D8</f>
        <v>1.0116306421682653</v>
      </c>
      <c r="K33" s="26" t="s">
        <v>142</v>
      </c>
    </row>
    <row r="34" spans="2:11" x14ac:dyDescent="0.25">
      <c r="B34" s="29" t="s">
        <v>24</v>
      </c>
      <c r="C34" s="24">
        <f>('SBI BS'!D9-'SBI BS'!C9)/'SBI BS'!C9</f>
        <v>0.17412911298766581</v>
      </c>
      <c r="D34" s="24">
        <f>('SBI BS'!E9-'SBI BS'!D9)/'SBI BS'!D9</f>
        <v>0.2243439070258251</v>
      </c>
      <c r="G34" s="29" t="s">
        <v>24</v>
      </c>
      <c r="H34" s="24">
        <f>('HDFC BS'!D9-'HDFC BS'!C9)/'HDFC BS'!C9</f>
        <v>0.14180700531613946</v>
      </c>
      <c r="I34" s="24">
        <f>('HDFC BS'!E9-'HDFC BS'!D9)/'HDFC BS'!D9</f>
        <v>0.12133359839192297</v>
      </c>
      <c r="K34" s="26" t="s">
        <v>143</v>
      </c>
    </row>
    <row r="35" spans="2:11" x14ac:dyDescent="0.25">
      <c r="B35" s="23" t="s">
        <v>37</v>
      </c>
      <c r="C35" s="24">
        <f>('SBI BS'!D10-'SBI BS'!C10)/'SBI BS'!C10</f>
        <v>0.15417353034477793</v>
      </c>
      <c r="D35" s="24">
        <f>('SBI BS'!E10-'SBI BS'!D10)/'SBI BS'!D10</f>
        <v>4.1187736572902089E-2</v>
      </c>
      <c r="G35" s="23" t="s">
        <v>37</v>
      </c>
      <c r="H35" s="24">
        <f>('HDFC BS'!D10-'HDFC BS'!C10)/'HDFC BS'!C10</f>
        <v>0.25742573640007671</v>
      </c>
      <c r="I35" s="24">
        <f>('HDFC BS'!E10-'HDFC BS'!D10)/'HDFC BS'!D10</f>
        <v>0.33553674005900547</v>
      </c>
      <c r="K35" s="26" t="s">
        <v>144</v>
      </c>
    </row>
    <row r="36" spans="2:11" x14ac:dyDescent="0.25">
      <c r="B36" s="29"/>
      <c r="C36" s="24"/>
      <c r="D36" s="24"/>
      <c r="G36" s="29"/>
      <c r="H36" s="24"/>
      <c r="I36" s="24"/>
      <c r="K36" s="26"/>
    </row>
    <row r="37" spans="2:11" x14ac:dyDescent="0.25">
      <c r="B37" s="23" t="s">
        <v>25</v>
      </c>
      <c r="C37" s="24">
        <f>('SBI BS'!D12-'SBI BS'!C12)/'SBI BS'!C12</f>
        <v>9.5309968568639131E-2</v>
      </c>
      <c r="D37" s="24">
        <f>('SBI BS'!E12-'SBI BS'!D12)/'SBI BS'!D12</f>
        <v>0.11088426689125395</v>
      </c>
      <c r="G37" s="23" t="s">
        <v>25</v>
      </c>
      <c r="H37" s="24">
        <f>('HDFC BS'!D12-'HDFC BS'!C12)/'HDFC BS'!C12</f>
        <v>0.14052452247546221</v>
      </c>
      <c r="I37" s="24">
        <f>('HDFC BS'!E12-'HDFC BS'!D12)/'HDFC BS'!D12</f>
        <v>0.1433989869844727</v>
      </c>
      <c r="K37" s="26" t="s">
        <v>145</v>
      </c>
    </row>
    <row r="38" spans="2:11" x14ac:dyDescent="0.25">
      <c r="B38" s="29" t="s">
        <v>26</v>
      </c>
      <c r="C38" s="24">
        <f>('SBI BS'!D13-'SBI BS'!C13)/'SBI BS'!C13</f>
        <v>-4.4952831015856953E-2</v>
      </c>
      <c r="D38" s="24">
        <f>('SBI BS'!E13-'SBI BS'!D13)/'SBI BS'!D13</f>
        <v>0.27247757370873127</v>
      </c>
      <c r="G38" s="29" t="s">
        <v>26</v>
      </c>
      <c r="H38" s="24">
        <f>('HDFC BS'!D13-'HDFC BS'!C13)/'HDFC BS'!C13</f>
        <v>-0.13140960636119037</v>
      </c>
      <c r="I38" s="24">
        <f>('HDFC BS'!E13-'HDFC BS'!D13)/'HDFC BS'!D13</f>
        <v>-7.2676670644412883E-2</v>
      </c>
      <c r="K38" s="26" t="s">
        <v>146</v>
      </c>
    </row>
    <row r="39" spans="2:11" x14ac:dyDescent="0.25">
      <c r="B39" s="29" t="s">
        <v>27</v>
      </c>
      <c r="C39" s="24">
        <f>('SBI BS'!D14-'SBI BS'!C14)/'SBI BS'!C14</f>
        <v>8.7928604547927225E-2</v>
      </c>
      <c r="D39" s="24">
        <f>('SBI BS'!E14-'SBI BS'!D14)/'SBI BS'!D14</f>
        <v>0.16865527466304889</v>
      </c>
      <c r="G39" s="29" t="s">
        <v>27</v>
      </c>
      <c r="H39" s="24">
        <f>('HDFC BS'!D14-'HDFC BS'!C14)/'HDFC BS'!C14</f>
        <v>0.12331802361897998</v>
      </c>
      <c r="I39" s="24">
        <f>('HDFC BS'!E14-'HDFC BS'!D14)/'HDFC BS'!D14</f>
        <v>0.20187776604763377</v>
      </c>
      <c r="K39" s="26" t="s">
        <v>147</v>
      </c>
    </row>
    <row r="40" spans="2:11" x14ac:dyDescent="0.25">
      <c r="B40" s="30" t="s">
        <v>28</v>
      </c>
      <c r="C40" s="24">
        <f>('SBI BS'!D15-'SBI BS'!C15)/'SBI BS'!C15</f>
        <v>8.619328883001906E-2</v>
      </c>
      <c r="D40" s="24">
        <f>('SBI BS'!E15-'SBI BS'!D15)/'SBI BS'!D15</f>
        <v>0.13773006651805586</v>
      </c>
      <c r="G40" s="30" t="s">
        <v>28</v>
      </c>
      <c r="H40" s="24">
        <f>('HDFC BS'!D15-'HDFC BS'!C15)/'HDFC BS'!C15</f>
        <v>8.9877345019095972E-2</v>
      </c>
      <c r="I40" s="24">
        <f>('HDFC BS'!E15-'HDFC BS'!D15)/'HDFC BS'!D15</f>
        <v>0.11738943973134501</v>
      </c>
      <c r="K40" s="26" t="s">
        <v>148</v>
      </c>
    </row>
    <row r="41" spans="2:11" x14ac:dyDescent="0.25">
      <c r="B41" s="23"/>
      <c r="C41" s="24"/>
      <c r="D41" s="24"/>
      <c r="G41" s="23"/>
      <c r="H41" s="24"/>
      <c r="I41" s="24"/>
      <c r="K41" s="26"/>
    </row>
    <row r="42" spans="2:11" x14ac:dyDescent="0.25">
      <c r="B42" s="28" t="s">
        <v>29</v>
      </c>
      <c r="C42" s="24"/>
      <c r="D42" s="24"/>
      <c r="G42" s="28" t="s">
        <v>29</v>
      </c>
      <c r="H42" s="24"/>
      <c r="I42" s="24"/>
      <c r="K42" s="26"/>
    </row>
    <row r="43" spans="2:11" x14ac:dyDescent="0.25">
      <c r="B43" s="29" t="s">
        <v>30</v>
      </c>
      <c r="C43" s="24">
        <f>('SBI BS'!D18-'SBI BS'!C18)/'SBI BS'!C18</f>
        <v>9.4464652596027727E-3</v>
      </c>
      <c r="D43" s="24">
        <f>('SBI BS'!E18-'SBI BS'!D18)/'SBI BS'!D18</f>
        <v>0.18109568317070279</v>
      </c>
      <c r="G43" s="29" t="s">
        <v>30</v>
      </c>
      <c r="H43" s="24">
        <f>('HDFC BS'!D18-'HDFC BS'!C18)/'HDFC BS'!C18</f>
        <v>-0.19208077141576765</v>
      </c>
      <c r="I43" s="24">
        <f>('HDFC BS'!E18-'HDFC BS'!D18)/'HDFC BS'!D18</f>
        <v>0.39003229096147413</v>
      </c>
      <c r="K43" s="26" t="s">
        <v>149</v>
      </c>
    </row>
    <row r="44" spans="2:11" x14ac:dyDescent="0.25">
      <c r="B44" s="23" t="s">
        <v>31</v>
      </c>
      <c r="C44" s="24">
        <f>('SBI BS'!D19-'SBI BS'!C19)/'SBI BS'!C19</f>
        <v>0.28880639340705455</v>
      </c>
      <c r="D44" s="24">
        <f>('SBI BS'!E19-'SBI BS'!D19)/'SBI BS'!D19</f>
        <v>2.0802857490278076E-2</v>
      </c>
      <c r="G44" s="23" t="s">
        <v>31</v>
      </c>
      <c r="H44" s="24">
        <f>('HDFC BS'!D19-'HDFC BS'!C19)/'HDFC BS'!C19</f>
        <v>1.1062731862820219</v>
      </c>
      <c r="I44" s="24">
        <f>('HDFC BS'!E19-'HDFC BS'!D19)/'HDFC BS'!D19</f>
        <v>5.3632209508264049E-2</v>
      </c>
      <c r="K44" s="26" t="s">
        <v>150</v>
      </c>
    </row>
    <row r="45" spans="2:11" x14ac:dyDescent="0.25">
      <c r="B45" s="29" t="s">
        <v>32</v>
      </c>
      <c r="C45" s="24">
        <f>('SBI BS'!D20-'SBI BS'!C20)/'SBI BS'!C20</f>
        <v>4.5037057781262803E-2</v>
      </c>
      <c r="D45" s="24">
        <f>('SBI BS'!E20-'SBI BS'!D20)/'SBI BS'!D20</f>
        <v>6.977737833955916E-2</v>
      </c>
      <c r="G45" s="29" t="s">
        <v>32</v>
      </c>
      <c r="H45" s="24">
        <f>('HDFC BS'!D20-'HDFC BS'!C20)/'HDFC BS'!C20</f>
        <v>0.17976987409027237</v>
      </c>
      <c r="I45" s="24">
        <f>('HDFC BS'!E20-'HDFC BS'!D20)/'HDFC BS'!D20</f>
        <v>7.9010149148877856E-2</v>
      </c>
      <c r="K45" s="26" t="s">
        <v>151</v>
      </c>
    </row>
    <row r="46" spans="2:11" x14ac:dyDescent="0.25">
      <c r="B46" s="29" t="s">
        <v>33</v>
      </c>
      <c r="C46" s="24">
        <f>('SBI BS'!D21-'SBI BS'!C21)/'SBI BS'!C21</f>
        <v>0.12328870208984055</v>
      </c>
      <c r="D46" s="24">
        <f>('SBI BS'!E21-'SBI BS'!D21)/'SBI BS'!D21</f>
        <v>0.17106831946356113</v>
      </c>
      <c r="G46" s="29" t="s">
        <v>33</v>
      </c>
      <c r="H46" s="24">
        <f>('HDFC BS'!D21-'HDFC BS'!C21)/'HDFC BS'!C21</f>
        <v>5.9497071959933166E-2</v>
      </c>
      <c r="I46" s="24">
        <f>('HDFC BS'!E21-'HDFC BS'!D21)/'HDFC BS'!D21</f>
        <v>0.11957888614984195</v>
      </c>
      <c r="K46" s="26" t="s">
        <v>152</v>
      </c>
    </row>
    <row r="47" spans="2:11" x14ac:dyDescent="0.25">
      <c r="B47" s="29" t="s">
        <v>34</v>
      </c>
      <c r="C47" s="24">
        <f>('SBI BS'!D22-'SBI BS'!C22)/'SBI BS'!C22</f>
        <v>3.6447875945951252E-2</v>
      </c>
      <c r="D47" s="24">
        <f>('SBI BS'!E22-'SBI BS'!D22)/'SBI BS'!D22</f>
        <v>0.23338247201650875</v>
      </c>
      <c r="G47" s="29" t="s">
        <v>34</v>
      </c>
      <c r="H47" s="24">
        <f>('HDFC BS'!D22-'HDFC BS'!C22)/'HDFC BS'!C22</f>
        <v>0.21058636470386616</v>
      </c>
      <c r="I47" s="24">
        <f>('HDFC BS'!E22-'HDFC BS'!D22)/'HDFC BS'!D22</f>
        <v>8.0852985396455856E-2</v>
      </c>
      <c r="K47" s="26" t="s">
        <v>153</v>
      </c>
    </row>
    <row r="48" spans="2:11" x14ac:dyDescent="0.25">
      <c r="B48" s="29" t="s">
        <v>35</v>
      </c>
      <c r="C48" s="24">
        <f>('SBI BS'!D23-'SBI BS'!C23)/'SBI BS'!C23</f>
        <v>-3.0351186345755194E-2</v>
      </c>
      <c r="D48" s="24">
        <f>('SBI BS'!E23-'SBI BS'!D23)/'SBI BS'!D23</f>
        <v>0.15783403110638292</v>
      </c>
      <c r="G48" s="29" t="s">
        <v>35</v>
      </c>
      <c r="H48" s="24">
        <f>('HDFC BS'!D23-'HDFC BS'!C23)/'HDFC BS'!C23</f>
        <v>2.1987451938174585E-2</v>
      </c>
      <c r="I48" s="24">
        <f>('HDFC BS'!E23-'HDFC BS'!D23)/'HDFC BS'!D23</f>
        <v>0.15209948742943308</v>
      </c>
      <c r="K48" s="26" t="s">
        <v>154</v>
      </c>
    </row>
    <row r="49" spans="2:11" x14ac:dyDescent="0.25">
      <c r="B49" s="30" t="s">
        <v>36</v>
      </c>
      <c r="C49" s="24">
        <f>('SBI BS'!D24-'SBI BS'!C24)/'SBI BS'!C24</f>
        <v>8.6193288844869403E-2</v>
      </c>
      <c r="D49" s="24">
        <f>('SBI BS'!E24-'SBI BS'!D24)/'SBI BS'!D24</f>
        <v>0.13773006650250091</v>
      </c>
      <c r="G49" s="30" t="s">
        <v>36</v>
      </c>
      <c r="H49" s="24">
        <f>('HDFC BS'!D24-'HDFC BS'!C24)/'HDFC BS'!C24</f>
        <v>8.9877345019095972E-2</v>
      </c>
      <c r="I49" s="24">
        <f>('HDFC BS'!E24-'HDFC BS'!D24)/'HDFC BS'!D24</f>
        <v>0.11738943973134501</v>
      </c>
      <c r="K49" s="26" t="s">
        <v>155</v>
      </c>
    </row>
    <row r="50" spans="2:11" x14ac:dyDescent="0.25">
      <c r="K50" s="26"/>
    </row>
    <row r="51" spans="2:11" x14ac:dyDescent="0.25">
      <c r="K51" s="26"/>
    </row>
    <row r="52" spans="2:11" x14ac:dyDescent="0.25">
      <c r="K52" s="26"/>
    </row>
    <row r="53" spans="2:11" x14ac:dyDescent="0.25">
      <c r="B53" s="107" t="s">
        <v>20</v>
      </c>
      <c r="C53" s="107"/>
      <c r="D53" s="107"/>
      <c r="G53" s="107" t="s">
        <v>21</v>
      </c>
      <c r="H53" s="107"/>
      <c r="I53" s="107"/>
      <c r="K53" s="26"/>
    </row>
    <row r="54" spans="2:11" x14ac:dyDescent="0.25">
      <c r="B54" s="107"/>
      <c r="C54" s="107"/>
      <c r="D54" s="107"/>
      <c r="G54" s="107"/>
      <c r="H54" s="107"/>
      <c r="I54" s="107"/>
      <c r="K54" s="26"/>
    </row>
    <row r="55" spans="2:11" ht="15.75" x14ac:dyDescent="0.25">
      <c r="B55" s="108" t="s">
        <v>141</v>
      </c>
      <c r="C55" s="108"/>
      <c r="D55" s="108"/>
      <c r="G55" s="108" t="s">
        <v>141</v>
      </c>
      <c r="H55" s="108"/>
      <c r="I55" s="108"/>
      <c r="K55" s="26"/>
    </row>
    <row r="56" spans="2:11" x14ac:dyDescent="0.25">
      <c r="B56" s="109" t="s">
        <v>19</v>
      </c>
      <c r="C56" s="109"/>
      <c r="D56" s="109"/>
      <c r="G56" s="109" t="s">
        <v>19</v>
      </c>
      <c r="H56" s="109"/>
      <c r="I56" s="109"/>
      <c r="K56" s="54" t="s">
        <v>176</v>
      </c>
    </row>
    <row r="57" spans="2:11" x14ac:dyDescent="0.25">
      <c r="B57" s="3" t="s">
        <v>0</v>
      </c>
      <c r="C57" s="3">
        <v>2025</v>
      </c>
      <c r="D57" s="3">
        <v>2026</v>
      </c>
      <c r="G57" s="3" t="s">
        <v>0</v>
      </c>
      <c r="H57" s="3">
        <v>2025</v>
      </c>
      <c r="I57" s="3">
        <v>2026</v>
      </c>
      <c r="K57" s="54" t="s">
        <v>177</v>
      </c>
    </row>
    <row r="58" spans="2:11" x14ac:dyDescent="0.25">
      <c r="K58" s="26"/>
    </row>
    <row r="59" spans="2:11" x14ac:dyDescent="0.25">
      <c r="B59" s="32" t="s">
        <v>41</v>
      </c>
      <c r="C59" s="23"/>
      <c r="D59" s="23"/>
      <c r="G59" s="32" t="s">
        <v>41</v>
      </c>
      <c r="H59" s="23"/>
      <c r="I59" s="23"/>
      <c r="K59" s="26"/>
    </row>
    <row r="60" spans="2:11" x14ac:dyDescent="0.25">
      <c r="B60" s="25" t="s">
        <v>61</v>
      </c>
      <c r="C60" s="24">
        <f>('SBI CF'!D8-'SBI CF'!C8)/'SBI CF'!C8</f>
        <v>0.16325107125746433</v>
      </c>
      <c r="D60" s="24">
        <f>('SBI CF'!E8-'SBI CF'!D8)/'SBI CF'!D8</f>
        <v>6.9095944070684451E-2</v>
      </c>
      <c r="G60" s="25" t="s">
        <v>61</v>
      </c>
      <c r="H60" s="24">
        <f>('HDFC CF'!D8-'HDFC CF'!C8)/'HDFC CF'!C8</f>
        <v>0.24486533995068541</v>
      </c>
      <c r="I60" s="24">
        <f>('HDFC CF'!E8-'HDFC CF'!D8)/'HDFC CF'!D8</f>
        <v>5.7202625848438111E-2</v>
      </c>
      <c r="K60" s="26" t="s">
        <v>158</v>
      </c>
    </row>
    <row r="61" spans="2:11" x14ac:dyDescent="0.25">
      <c r="B61" s="23" t="s">
        <v>42</v>
      </c>
      <c r="C61" s="24">
        <f>('SBI CF'!D9-'SBI CF'!C9)/'SBI CF'!C9</f>
        <v>3.6983007434547847E-2</v>
      </c>
      <c r="D61" s="24">
        <f>('SBI CF'!E9-'SBI CF'!D9)/'SBI CF'!D9</f>
        <v>0.21000794016911078</v>
      </c>
      <c r="G61" s="23" t="s">
        <v>42</v>
      </c>
      <c r="H61" s="24">
        <f>('HDFC CF'!D9-'HDFC CF'!C9)/'HDFC CF'!C9</f>
        <v>0.2306376290393522</v>
      </c>
      <c r="I61" s="24">
        <f>('HDFC CF'!E9-'HDFC CF'!D9)/'HDFC CF'!D9</f>
        <v>0.10240379687955777</v>
      </c>
      <c r="K61" s="26" t="s">
        <v>159</v>
      </c>
    </row>
    <row r="62" spans="2:11" x14ac:dyDescent="0.25">
      <c r="B62" s="23" t="s">
        <v>44</v>
      </c>
      <c r="C62" s="24">
        <f>('SBI CF'!D10-'SBI CF'!C10)/'SBI CF'!C10</f>
        <v>0.83620124624113634</v>
      </c>
      <c r="D62" s="24">
        <f>('SBI CF'!E10-'SBI CF'!D10)/'SBI CF'!D10</f>
        <v>0.41912935761452264</v>
      </c>
      <c r="G62" s="23" t="s">
        <v>44</v>
      </c>
      <c r="H62" s="24">
        <f>('HDFC CF'!D10-'HDFC CF'!C10)/'HDFC CF'!C10</f>
        <v>0.51720333558683806</v>
      </c>
      <c r="I62" s="24">
        <f>('HDFC CF'!E10-'HDFC CF'!D10)/'HDFC CF'!D10</f>
        <v>0.50189054873831696</v>
      </c>
      <c r="K62" s="26" t="s">
        <v>160</v>
      </c>
    </row>
    <row r="63" spans="2:11" x14ac:dyDescent="0.25">
      <c r="B63" s="23" t="s">
        <v>43</v>
      </c>
      <c r="C63" s="24">
        <f>('SBI CF'!D11-'SBI CF'!C11)/'SBI CF'!C11</f>
        <v>7.9735049093636684E-2</v>
      </c>
      <c r="D63" s="24">
        <f>('SBI CF'!E11-'SBI CF'!D11)/'SBI CF'!D11</f>
        <v>7.5871195454249168E-2</v>
      </c>
      <c r="G63" s="23" t="s">
        <v>43</v>
      </c>
      <c r="H63" s="24">
        <f>('HDFC CF'!D11-'HDFC CF'!C11)/'HDFC CF'!C11</f>
        <v>-2.2830436145417994</v>
      </c>
      <c r="I63" s="24">
        <f>('HDFC CF'!E11-'HDFC CF'!D11)/'HDFC CF'!D11</f>
        <v>-1.7730343833636544</v>
      </c>
      <c r="K63" s="26" t="s">
        <v>161</v>
      </c>
    </row>
    <row r="64" spans="2:11" x14ac:dyDescent="0.25">
      <c r="B64" s="23" t="s">
        <v>45</v>
      </c>
      <c r="C64" s="24">
        <f>('SBI CF'!D12-'SBI CF'!C12)/'SBI CF'!C12</f>
        <v>-4.2268939035323361E-2</v>
      </c>
      <c r="D64" s="24">
        <f>('SBI CF'!E12-'SBI CF'!D12)/'SBI CF'!D12</f>
        <v>0.42877971937515719</v>
      </c>
      <c r="G64" s="23" t="s">
        <v>45</v>
      </c>
      <c r="H64" s="24">
        <f>('HDFC CF'!D12-'HDFC CF'!C12)/'HDFC CF'!C12</f>
        <v>-0.60349670524131593</v>
      </c>
      <c r="I64" s="24">
        <f>('HDFC CF'!E12-'HDFC CF'!D12)/'HDFC CF'!D12</f>
        <v>-1.1328054440987423</v>
      </c>
      <c r="K64" s="26" t="s">
        <v>162</v>
      </c>
    </row>
    <row r="65" spans="2:11" x14ac:dyDescent="0.25">
      <c r="B65" s="23"/>
      <c r="C65" s="24"/>
      <c r="D65" s="24"/>
      <c r="G65" s="23"/>
      <c r="H65" s="24"/>
      <c r="I65" s="24"/>
      <c r="K65" s="26"/>
    </row>
    <row r="66" spans="2:11" x14ac:dyDescent="0.25">
      <c r="B66" s="25" t="s">
        <v>46</v>
      </c>
      <c r="C66" s="24">
        <f>('SBI CF'!D14-'SBI CF'!C14)/'SBI CF'!C14</f>
        <v>1.1025846545693809</v>
      </c>
      <c r="D66" s="24">
        <f>('SBI CF'!E14-'SBI CF'!D14)/'SBI CF'!D14</f>
        <v>-0.16240037157675294</v>
      </c>
      <c r="G66" s="25" t="s">
        <v>46</v>
      </c>
      <c r="H66" s="24">
        <f>('HDFC CF'!D14-'HDFC CF'!C14)/'HDFC CF'!C14</f>
        <v>5.6725875148274563</v>
      </c>
      <c r="I66" s="24">
        <f>('HDFC CF'!E14-'HDFC CF'!D14)/'HDFC CF'!D14</f>
        <v>-0.10794766878567578</v>
      </c>
      <c r="K66" s="26" t="s">
        <v>163</v>
      </c>
    </row>
    <row r="67" spans="2:11" x14ac:dyDescent="0.25">
      <c r="B67" s="23"/>
      <c r="C67" s="24"/>
      <c r="D67" s="24"/>
      <c r="G67" s="23"/>
      <c r="H67" s="24"/>
      <c r="I67" s="24"/>
      <c r="K67" s="26"/>
    </row>
    <row r="68" spans="2:11" x14ac:dyDescent="0.25">
      <c r="B68" s="32" t="s">
        <v>47</v>
      </c>
      <c r="C68" s="24"/>
      <c r="D68" s="24"/>
      <c r="G68" s="32" t="s">
        <v>47</v>
      </c>
      <c r="H68" s="24"/>
      <c r="I68" s="24"/>
      <c r="K68" s="26"/>
    </row>
    <row r="69" spans="2:11" x14ac:dyDescent="0.25">
      <c r="B69" s="23" t="s">
        <v>49</v>
      </c>
      <c r="C69" s="53" t="s">
        <v>62</v>
      </c>
      <c r="D69" s="53" t="s">
        <v>62</v>
      </c>
      <c r="G69" s="23" t="s">
        <v>49</v>
      </c>
      <c r="H69" s="53" t="s">
        <v>62</v>
      </c>
      <c r="I69" s="53" t="s">
        <v>62</v>
      </c>
      <c r="K69" s="26" t="s">
        <v>164</v>
      </c>
    </row>
    <row r="70" spans="2:11" x14ac:dyDescent="0.25">
      <c r="B70" s="23" t="s">
        <v>48</v>
      </c>
      <c r="C70" s="53" t="s">
        <v>62</v>
      </c>
      <c r="D70" s="24">
        <f>('SBI CF'!E18-'SBI CF'!D18)/'SBI CF'!D18</f>
        <v>-1194.3442092345451</v>
      </c>
      <c r="G70" s="23" t="s">
        <v>48</v>
      </c>
      <c r="H70" s="24">
        <f>('HDFC CF'!D18-'HDFC CF'!C18)/'HDFC CF'!C18</f>
        <v>-0.97979089895765248</v>
      </c>
      <c r="I70" s="24">
        <f>('HDFC CF'!E18-'HDFC CF'!D18)/'HDFC CF'!D18</f>
        <v>50.072916666666664</v>
      </c>
      <c r="K70" s="26" t="s">
        <v>165</v>
      </c>
    </row>
    <row r="71" spans="2:11" x14ac:dyDescent="0.25">
      <c r="B71" s="23" t="s">
        <v>50</v>
      </c>
      <c r="C71" s="24">
        <f>('SBI CF'!D19-'SBI CF'!C19)/'SBI CF'!C19</f>
        <v>0.3501925043607067</v>
      </c>
      <c r="D71" s="24">
        <f>('SBI CF'!E19-'SBI CF'!D19)/'SBI CF'!D19</f>
        <v>0.48352416928040853</v>
      </c>
      <c r="G71" s="23" t="s">
        <v>50</v>
      </c>
      <c r="H71" s="24">
        <f>('HDFC CF'!D19-'HDFC CF'!C19)/'HDFC CF'!C19</f>
        <v>-5.0569633857985519E-2</v>
      </c>
      <c r="I71" s="24">
        <f>('HDFC CF'!E19-'HDFC CF'!D19)/'HDFC CF'!D19</f>
        <v>-0.15414686667488439</v>
      </c>
      <c r="K71" s="26" t="s">
        <v>166</v>
      </c>
    </row>
    <row r="72" spans="2:11" x14ac:dyDescent="0.25">
      <c r="B72" s="23" t="s">
        <v>51</v>
      </c>
      <c r="C72" s="24">
        <f>('SBI CF'!D20-'SBI CF'!C20)/'SBI CF'!C20</f>
        <v>0.61540946535293151</v>
      </c>
      <c r="D72" s="24">
        <f>('SBI CF'!E20-'SBI CF'!D20)/'SBI CF'!D20</f>
        <v>-0.89668810896688111</v>
      </c>
      <c r="G72" s="23" t="s">
        <v>51</v>
      </c>
      <c r="H72" s="53" t="s">
        <v>62</v>
      </c>
      <c r="I72" s="24">
        <f>('HDFC CF'!E20-'HDFC CF'!D20)/'HDFC CF'!D20</f>
        <v>0.19860678820216401</v>
      </c>
      <c r="K72" s="26" t="s">
        <v>167</v>
      </c>
    </row>
    <row r="73" spans="2:11" x14ac:dyDescent="0.25">
      <c r="B73" s="25" t="s">
        <v>52</v>
      </c>
      <c r="C73" s="24">
        <f>('SBI CF'!D21-'SBI CF'!C21)/'SBI CF'!C21</f>
        <v>0.32528680836179241</v>
      </c>
      <c r="D73" s="24">
        <f>('SBI CF'!E21-'SBI CF'!D21)/'SBI CF'!D21</f>
        <v>-0.87738823259740284</v>
      </c>
      <c r="G73" s="25" t="s">
        <v>52</v>
      </c>
      <c r="H73" s="24">
        <f>('HDFC CF'!D21-'HDFC CF'!C21)/'HDFC CF'!C21</f>
        <v>-1.7246531182192679</v>
      </c>
      <c r="I73" s="24">
        <f>('HDFC CF'!E21-'HDFC CF'!D21)/'HDFC CF'!D21</f>
        <v>-2.6523798641264831</v>
      </c>
      <c r="K73" s="26" t="s">
        <v>168</v>
      </c>
    </row>
    <row r="74" spans="2:11" x14ac:dyDescent="0.25">
      <c r="B74" s="23"/>
      <c r="C74" s="24"/>
      <c r="D74" s="24"/>
      <c r="G74" s="23"/>
      <c r="H74" s="24"/>
      <c r="I74" s="24"/>
      <c r="K74" s="26"/>
    </row>
    <row r="75" spans="2:11" x14ac:dyDescent="0.25">
      <c r="B75" s="32" t="s">
        <v>53</v>
      </c>
      <c r="C75" s="24"/>
      <c r="D75" s="24"/>
      <c r="G75" s="32" t="s">
        <v>53</v>
      </c>
      <c r="H75" s="24"/>
      <c r="I75" s="24"/>
      <c r="K75" s="26"/>
    </row>
    <row r="76" spans="2:11" x14ac:dyDescent="0.25">
      <c r="B76" s="23" t="s">
        <v>54</v>
      </c>
      <c r="C76" s="24">
        <f>('SBI CF'!D24-'SBI CF'!C24)/'SBI CF'!C24</f>
        <v>0.21238937386187146</v>
      </c>
      <c r="D76" s="24">
        <f>('SBI CF'!E24-'SBI CF'!D24)/'SBI CF'!D24</f>
        <v>0.16058500341829246</v>
      </c>
      <c r="G76" s="23" t="s">
        <v>54</v>
      </c>
      <c r="H76" s="24">
        <f>('HDFC CF'!D24-'HDFC CF'!C24)/'HDFC CF'!C24</f>
        <v>0.76409436939134412</v>
      </c>
      <c r="I76" s="24">
        <f>('HDFC CF'!E24-'HDFC CF'!D24)/'HDFC CF'!D24</f>
        <v>0.39658131994801082</v>
      </c>
      <c r="K76" s="26" t="s">
        <v>169</v>
      </c>
    </row>
    <row r="77" spans="2:11" x14ac:dyDescent="0.25">
      <c r="B77" s="29" t="s">
        <v>55</v>
      </c>
      <c r="C77" s="24">
        <f>('SBI CF'!D25-'SBI CF'!C25)/'SBI CF'!C25</f>
        <v>6.9028499443059452</v>
      </c>
      <c r="D77" s="24">
        <f>('SBI CF'!E25-'SBI CF'!D25)/'SBI CF'!D25</f>
        <v>6.2238626485922808</v>
      </c>
      <c r="G77" s="29" t="s">
        <v>55</v>
      </c>
      <c r="H77" s="24">
        <f>('HDFC CF'!D25-'HDFC CF'!C25)/'HDFC CF'!C25</f>
        <v>-20.824522318924497</v>
      </c>
      <c r="I77" s="24">
        <f>('HDFC CF'!E25-'HDFC CF'!D25)/'HDFC CF'!D25</f>
        <v>-0.56305441958395397</v>
      </c>
      <c r="K77" s="26" t="s">
        <v>170</v>
      </c>
    </row>
    <row r="78" spans="2:11" x14ac:dyDescent="0.25">
      <c r="B78" s="25" t="s">
        <v>56</v>
      </c>
      <c r="C78" s="24">
        <f>('SBI CF'!D26-'SBI CF'!C26)/'SBI CF'!C26</f>
        <v>8.4932153556868895E-2</v>
      </c>
      <c r="D78" s="24">
        <f>('SBI CF'!E26-'SBI CF'!D26)/'SBI CF'!D26</f>
        <v>-0.68080440027069533</v>
      </c>
      <c r="G78" s="25" t="s">
        <v>56</v>
      </c>
      <c r="H78" s="24">
        <f>('HDFC CF'!D26-'HDFC CF'!C26)/'HDFC CF'!C26</f>
        <v>24.728344539123185</v>
      </c>
      <c r="I78" s="24">
        <f>('HDFC CF'!E26-'HDFC CF'!D26)/'HDFC CF'!D26</f>
        <v>-0.424216760082258</v>
      </c>
      <c r="K78" s="26" t="s">
        <v>171</v>
      </c>
    </row>
    <row r="79" spans="2:11" x14ac:dyDescent="0.25">
      <c r="B79" s="23"/>
      <c r="C79" s="24"/>
      <c r="D79" s="24"/>
      <c r="G79" s="23"/>
      <c r="H79" s="24"/>
      <c r="I79" s="24"/>
      <c r="K79" s="26"/>
    </row>
    <row r="80" spans="2:11" x14ac:dyDescent="0.25">
      <c r="B80" s="23" t="s">
        <v>58</v>
      </c>
      <c r="C80" s="24">
        <f>('SBI CF'!D28-'SBI CF'!C28)/'SBI CF'!C28</f>
        <v>1.8972787319315314</v>
      </c>
      <c r="D80" s="24">
        <f>('SBI CF'!E28-'SBI CF'!D28)/'SBI CF'!D28</f>
        <v>3.4173320495021962</v>
      </c>
      <c r="G80" s="23" t="s">
        <v>58</v>
      </c>
      <c r="H80" s="24">
        <f>('HDFC CF'!D28-'HDFC CF'!C28)/'HDFC CF'!C28</f>
        <v>0.90327806365542207</v>
      </c>
      <c r="I80" s="24">
        <f>('HDFC CF'!E28-'HDFC CF'!D28)/'HDFC CF'!D28</f>
        <v>4.5770289891353331</v>
      </c>
      <c r="K80" s="26" t="s">
        <v>172</v>
      </c>
    </row>
    <row r="81" spans="2:11" x14ac:dyDescent="0.25">
      <c r="B81" s="25" t="s">
        <v>57</v>
      </c>
      <c r="C81" s="24">
        <f>('SBI CF'!D29-'SBI CF'!C29)/'SBI CF'!C29</f>
        <v>2.7965092510547769</v>
      </c>
      <c r="D81" s="24">
        <f>('SBI CF'!E29-'SBI CF'!D29)/'SBI CF'!D29</f>
        <v>0.40017125352743499</v>
      </c>
      <c r="G81" s="25" t="s">
        <v>57</v>
      </c>
      <c r="H81" s="24">
        <f>('HDFC CF'!D29-'HDFC CF'!C29)/'HDFC CF'!C29</f>
        <v>2.9670826467115337E-2</v>
      </c>
      <c r="I81" s="24">
        <f>('HDFC CF'!E29-'HDFC CF'!D29)/'HDFC CF'!D29</f>
        <v>1.9354902268181533</v>
      </c>
      <c r="K81" s="26" t="s">
        <v>173</v>
      </c>
    </row>
    <row r="82" spans="2:11" x14ac:dyDescent="0.25">
      <c r="B82" s="23"/>
      <c r="C82" s="24"/>
      <c r="D82" s="24"/>
      <c r="G82" s="23"/>
      <c r="H82" s="24"/>
      <c r="I82" s="24"/>
      <c r="K82" s="26"/>
    </row>
    <row r="83" spans="2:11" x14ac:dyDescent="0.25">
      <c r="B83" s="27" t="s">
        <v>59</v>
      </c>
      <c r="C83" s="24">
        <f>('SBI CF'!D31-'SBI CF'!C31)/'SBI CF'!C31</f>
        <v>2.5950627508047528E-2</v>
      </c>
      <c r="D83" s="24">
        <f>('SBI CF'!E31-'SBI CF'!D31)/'SBI CF'!D31</f>
        <v>9.6029696835573941E-2</v>
      </c>
      <c r="G83" s="27" t="s">
        <v>59</v>
      </c>
      <c r="H83" s="24">
        <f>('HDFC CF'!D31-'HDFC CF'!C31)/'HDFC CF'!C31</f>
        <v>9.8425753584993725E-2</v>
      </c>
      <c r="I83" s="24">
        <f>('HDFC CF'!E31-'HDFC CF'!D31)/'HDFC CF'!D31</f>
        <v>9.2264886096069962E-2</v>
      </c>
      <c r="K83" s="26" t="s">
        <v>174</v>
      </c>
    </row>
    <row r="84" spans="2:11" x14ac:dyDescent="0.25">
      <c r="B84" s="27" t="s">
        <v>60</v>
      </c>
      <c r="C84" s="24">
        <f>('SBI CF'!D32-'SBI CF'!C32)/'SBI CF'!C32</f>
        <v>9.6029715135283147E-2</v>
      </c>
      <c r="D84" s="24">
        <f>('SBI CF'!E32-'SBI CF'!D32)/'SBI CF'!D32</f>
        <v>0.1226773516014197</v>
      </c>
      <c r="G84" s="27" t="s">
        <v>60</v>
      </c>
      <c r="H84" s="24">
        <f>('HDFC CF'!D32-'HDFC CF'!C32)/'HDFC CF'!C32</f>
        <v>9.2264886096069837E-2</v>
      </c>
      <c r="I84" s="24">
        <f>('HDFC CF'!E32-'HDFC CF'!D32)/'HDFC CF'!D32</f>
        <v>0.24796427575506749</v>
      </c>
      <c r="K84" s="26" t="s">
        <v>175</v>
      </c>
    </row>
  </sheetData>
  <mergeCells count="19">
    <mergeCell ref="E1:E5"/>
    <mergeCell ref="G1:I2"/>
    <mergeCell ref="G3:I3"/>
    <mergeCell ref="G4:I4"/>
    <mergeCell ref="B1:D2"/>
    <mergeCell ref="B3:D3"/>
    <mergeCell ref="B4:D4"/>
    <mergeCell ref="B26:D27"/>
    <mergeCell ref="B28:D28"/>
    <mergeCell ref="B29:D29"/>
    <mergeCell ref="G26:I27"/>
    <mergeCell ref="G28:I28"/>
    <mergeCell ref="G29:I29"/>
    <mergeCell ref="B53:D54"/>
    <mergeCell ref="B55:D55"/>
    <mergeCell ref="B56:D56"/>
    <mergeCell ref="G53:I54"/>
    <mergeCell ref="G55:I55"/>
    <mergeCell ref="G56:I5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F124-4BB3-4585-82DD-FA58BEC20426}">
  <dimension ref="B1:K84"/>
  <sheetViews>
    <sheetView workbookViewId="0">
      <selection activeCell="C74" sqref="C74"/>
    </sheetView>
  </sheetViews>
  <sheetFormatPr defaultColWidth="8.7109375" defaultRowHeight="15" x14ac:dyDescent="0.25"/>
  <cols>
    <col min="1" max="1" width="2" customWidth="1"/>
    <col min="2" max="2" width="87.140625" customWidth="1"/>
    <col min="3" max="4" width="12.85546875" customWidth="1"/>
    <col min="6" max="6" width="1.85546875" customWidth="1"/>
    <col min="7" max="7" width="87.140625" customWidth="1"/>
    <col min="8" max="9" width="12.85546875" customWidth="1"/>
    <col min="10" max="10" width="1.85546875" customWidth="1"/>
    <col min="11" max="11" width="132" customWidth="1"/>
  </cols>
  <sheetData>
    <row r="1" spans="2:11" ht="15" customHeight="1" x14ac:dyDescent="0.25">
      <c r="B1" s="103" t="s">
        <v>20</v>
      </c>
      <c r="C1" s="103"/>
      <c r="D1" s="103"/>
      <c r="E1" s="121" t="s">
        <v>64</v>
      </c>
      <c r="F1" s="71"/>
      <c r="G1" s="103" t="s">
        <v>21</v>
      </c>
      <c r="H1" s="103"/>
      <c r="I1" s="103"/>
    </row>
    <row r="2" spans="2:11" ht="15" customHeight="1" x14ac:dyDescent="0.25">
      <c r="B2" s="103"/>
      <c r="C2" s="103"/>
      <c r="D2" s="103"/>
      <c r="E2" s="121"/>
      <c r="F2" s="71"/>
      <c r="G2" s="103"/>
      <c r="H2" s="103"/>
      <c r="I2" s="103"/>
    </row>
    <row r="3" spans="2:11" ht="15.75" customHeight="1" x14ac:dyDescent="0.25">
      <c r="B3" s="104" t="s">
        <v>140</v>
      </c>
      <c r="C3" s="104"/>
      <c r="D3" s="104"/>
      <c r="E3" s="121"/>
      <c r="F3" s="71"/>
      <c r="G3" s="104" t="s">
        <v>140</v>
      </c>
      <c r="H3" s="104"/>
      <c r="I3" s="104"/>
    </row>
    <row r="4" spans="2:11" ht="15" customHeight="1" x14ac:dyDescent="0.25">
      <c r="B4" s="105" t="s">
        <v>19</v>
      </c>
      <c r="C4" s="105"/>
      <c r="D4" s="105"/>
      <c r="E4" s="121"/>
      <c r="F4" s="71"/>
      <c r="G4" s="105" t="s">
        <v>19</v>
      </c>
      <c r="H4" s="105"/>
      <c r="I4" s="105"/>
      <c r="K4" s="72" t="s">
        <v>179</v>
      </c>
    </row>
    <row r="5" spans="2:11" ht="15" customHeight="1" x14ac:dyDescent="0.25">
      <c r="B5" s="73" t="s">
        <v>0</v>
      </c>
      <c r="C5" s="73">
        <v>2025</v>
      </c>
      <c r="D5" s="73">
        <v>2026</v>
      </c>
      <c r="E5" s="121"/>
      <c r="F5" s="71"/>
      <c r="G5" s="73" t="s">
        <v>0</v>
      </c>
      <c r="H5" s="73">
        <v>2025</v>
      </c>
      <c r="I5" s="73">
        <v>2026</v>
      </c>
      <c r="K5" s="72" t="s">
        <v>180</v>
      </c>
    </row>
    <row r="6" spans="2:11" ht="15" customHeight="1" x14ac:dyDescent="0.25">
      <c r="B6" s="71"/>
      <c r="C6" s="71"/>
      <c r="D6" s="71"/>
      <c r="E6" s="71"/>
      <c r="F6" s="71"/>
      <c r="G6" s="71"/>
      <c r="H6" s="71"/>
      <c r="I6" s="71"/>
    </row>
    <row r="7" spans="2:11" ht="15" customHeight="1" x14ac:dyDescent="0.25">
      <c r="B7" s="74" t="s">
        <v>1</v>
      </c>
      <c r="C7" s="69">
        <f>'SBI IS'!D7/'SBI IS'!$D$7</f>
        <v>1</v>
      </c>
      <c r="D7" s="69">
        <f>'SBI IS'!E7/'SBI IS'!$E$7</f>
        <v>1</v>
      </c>
      <c r="E7" s="74"/>
      <c r="F7" s="74"/>
      <c r="G7" s="74" t="s">
        <v>1</v>
      </c>
      <c r="H7" s="69">
        <f>'HDFC IS'!D7/'HDFC IS'!$D$7</f>
        <v>1</v>
      </c>
      <c r="I7" s="69">
        <f>'HDFC IS'!E7/'HDFC IS'!$E$7</f>
        <v>1</v>
      </c>
      <c r="K7" s="58" t="s">
        <v>178</v>
      </c>
    </row>
    <row r="8" spans="2:11" ht="15" customHeight="1" x14ac:dyDescent="0.25">
      <c r="B8" s="74" t="s">
        <v>3</v>
      </c>
      <c r="C8" s="69">
        <f>'SBI IS'!D8/'SBI IS'!$D$7</f>
        <v>0.61377838260187056</v>
      </c>
      <c r="D8" s="69">
        <f>'SBI IS'!E8/'SBI IS'!$E$7</f>
        <v>0.61173989425548703</v>
      </c>
      <c r="E8" s="74"/>
      <c r="F8" s="74"/>
      <c r="G8" s="74" t="s">
        <v>3</v>
      </c>
      <c r="H8" s="69">
        <f>'HDFC IS'!D8/'HDFC IS'!$D$7</f>
        <v>0.54670632052574175</v>
      </c>
      <c r="I8" s="69">
        <f>'HDFC IS'!E8/'HDFC IS'!$E$7</f>
        <v>0.53208023231348378</v>
      </c>
      <c r="K8" s="58" t="s">
        <v>316</v>
      </c>
    </row>
    <row r="9" spans="2:11" ht="15" customHeight="1" x14ac:dyDescent="0.25">
      <c r="B9" s="75" t="s">
        <v>9</v>
      </c>
      <c r="C9" s="69">
        <f>'SBI IS'!D9/'SBI IS'!$D$7</f>
        <v>0.38622161739812944</v>
      </c>
      <c r="D9" s="69">
        <f>'SBI IS'!E9/'SBI IS'!$E$7</f>
        <v>0.38826010574451303</v>
      </c>
      <c r="E9" s="74"/>
      <c r="F9" s="74"/>
      <c r="G9" s="75" t="s">
        <v>9</v>
      </c>
      <c r="H9" s="69">
        <f>'HDFC IS'!D9/'HDFC IS'!$D$7</f>
        <v>0.45329367947425819</v>
      </c>
      <c r="I9" s="69">
        <f>'HDFC IS'!E9/'HDFC IS'!$E$7</f>
        <v>0.46791976768651622</v>
      </c>
      <c r="K9" s="58" t="s">
        <v>317</v>
      </c>
    </row>
    <row r="10" spans="2:11" ht="15" customHeight="1" x14ac:dyDescent="0.25">
      <c r="B10" s="74" t="s">
        <v>2</v>
      </c>
      <c r="C10" s="69">
        <f>'SBI IS'!D10/'SBI IS'!$D$7</f>
        <v>0.35289850515434001</v>
      </c>
      <c r="D10" s="69">
        <f>'SBI IS'!E10/'SBI IS'!$E$7</f>
        <v>0.38395499097545566</v>
      </c>
      <c r="E10" s="74"/>
      <c r="F10" s="74"/>
      <c r="G10" s="74" t="s">
        <v>2</v>
      </c>
      <c r="H10" s="69">
        <f>'HDFC IS'!D10/'HDFC IS'!$D$7</f>
        <v>0.40000454265146895</v>
      </c>
      <c r="I10" s="69">
        <f>'HDFC IS'!E10/'HDFC IS'!$E$7</f>
        <v>0.42123143529476559</v>
      </c>
      <c r="K10" s="58" t="s">
        <v>318</v>
      </c>
    </row>
    <row r="11" spans="2:11" ht="15" customHeight="1" x14ac:dyDescent="0.25">
      <c r="B11" s="75" t="s">
        <v>8</v>
      </c>
      <c r="C11" s="69">
        <f>'SBI IS'!D11/'SBI IS'!$D$7</f>
        <v>0.73912012255246939</v>
      </c>
      <c r="D11" s="69">
        <f>'SBI IS'!E11/'SBI IS'!$E$7</f>
        <v>0.77221509671996869</v>
      </c>
      <c r="E11" s="74"/>
      <c r="F11" s="74"/>
      <c r="G11" s="75" t="s">
        <v>8</v>
      </c>
      <c r="H11" s="69">
        <f>'HDFC IS'!D11/'HDFC IS'!$D$7</f>
        <v>0.85329822212572715</v>
      </c>
      <c r="I11" s="69">
        <f>'HDFC IS'!E11/'HDFC IS'!$E$7</f>
        <v>0.88915120298128181</v>
      </c>
      <c r="K11" s="58" t="s">
        <v>319</v>
      </c>
    </row>
    <row r="12" spans="2:11" ht="15" customHeight="1" x14ac:dyDescent="0.25">
      <c r="B12" s="74"/>
      <c r="C12" s="69"/>
      <c r="D12" s="69"/>
      <c r="E12" s="74"/>
      <c r="F12" s="74"/>
      <c r="G12" s="74"/>
      <c r="H12" s="69"/>
      <c r="I12" s="69"/>
      <c r="K12" s="58"/>
    </row>
    <row r="13" spans="2:11" ht="15" customHeight="1" x14ac:dyDescent="0.25">
      <c r="B13" s="74" t="s">
        <v>4</v>
      </c>
      <c r="C13" s="69">
        <f>'SBI IS'!D13/'SBI IS'!$D$7</f>
        <v>0.48249518956116111</v>
      </c>
      <c r="D13" s="69">
        <f>'SBI IS'!E13/'SBI IS'!$E$7</f>
        <v>0.51006763467034189</v>
      </c>
      <c r="E13" s="74"/>
      <c r="F13" s="74"/>
      <c r="G13" s="74" t="s">
        <v>4</v>
      </c>
      <c r="H13" s="69">
        <f>'HDFC IS'!D13/'HDFC IS'!$D$7</f>
        <v>0.52503617844331718</v>
      </c>
      <c r="I13" s="69">
        <f>'HDFC IS'!E13/'HDFC IS'!$E$7</f>
        <v>0.51969603156948285</v>
      </c>
      <c r="K13" s="58" t="s">
        <v>320</v>
      </c>
    </row>
    <row r="14" spans="2:11" ht="15" customHeight="1" x14ac:dyDescent="0.25">
      <c r="B14" s="75" t="s">
        <v>10</v>
      </c>
      <c r="C14" s="69">
        <f>'SBI IS'!D14/'SBI IS'!$D$7</f>
        <v>0.25662493299130829</v>
      </c>
      <c r="D14" s="69">
        <f>'SBI IS'!E14/'SBI IS'!$E$7</f>
        <v>0.26214746204962686</v>
      </c>
      <c r="E14" s="74"/>
      <c r="F14" s="74"/>
      <c r="G14" s="75" t="s">
        <v>10</v>
      </c>
      <c r="H14" s="69">
        <f>'HDFC IS'!D14/'HDFC IS'!$D$7</f>
        <v>0.32826204368240997</v>
      </c>
      <c r="I14" s="69">
        <f>'HDFC IS'!E14/'HDFC IS'!$E$7</f>
        <v>0.36945517141179895</v>
      </c>
      <c r="K14" s="58" t="s">
        <v>321</v>
      </c>
    </row>
    <row r="15" spans="2:11" ht="15" customHeight="1" x14ac:dyDescent="0.25">
      <c r="B15" s="74"/>
      <c r="C15" s="69"/>
      <c r="D15" s="69"/>
      <c r="E15" s="74"/>
      <c r="F15" s="74"/>
      <c r="G15" s="74"/>
      <c r="H15" s="69"/>
      <c r="I15" s="69"/>
      <c r="K15" s="58"/>
    </row>
    <row r="16" spans="2:11" ht="15" customHeight="1" x14ac:dyDescent="0.25">
      <c r="B16" s="74" t="s">
        <v>11</v>
      </c>
      <c r="C16" s="69">
        <f>'SBI IS'!D16/'SBI IS'!$D$7</f>
        <v>3.969134400079883E-2</v>
      </c>
      <c r="D16" s="69">
        <f>'SBI IS'!E16/'SBI IS'!$E$7</f>
        <v>4.0704920198812881E-2</v>
      </c>
      <c r="E16" s="74"/>
      <c r="F16" s="74"/>
      <c r="G16" s="74" t="s">
        <v>11</v>
      </c>
      <c r="H16" s="69">
        <f>'HDFC IS'!D16/'HDFC IS'!$D$7</f>
        <v>4.7108574097081878E-2</v>
      </c>
      <c r="I16" s="69">
        <f>'HDFC IS'!E16/'HDFC IS'!$E$7</f>
        <v>8.3418090120294539E-2</v>
      </c>
      <c r="K16" s="58" t="s">
        <v>322</v>
      </c>
    </row>
    <row r="17" spans="2:11" ht="15" customHeight="1" x14ac:dyDescent="0.25">
      <c r="B17" s="75" t="s">
        <v>5</v>
      </c>
      <c r="C17" s="69">
        <f>'SBI IS'!D17/'SBI IS'!$D$7</f>
        <v>0.21693358899050944</v>
      </c>
      <c r="D17" s="69">
        <f>'SBI IS'!E17/'SBI IS'!$E$7</f>
        <v>0.22144254185081394</v>
      </c>
      <c r="E17" s="74"/>
      <c r="F17" s="74"/>
      <c r="G17" s="75" t="s">
        <v>5</v>
      </c>
      <c r="H17" s="69">
        <f>'HDFC IS'!D17/'HDFC IS'!$D$7</f>
        <v>0.28115346958532805</v>
      </c>
      <c r="I17" s="69">
        <f>'HDFC IS'!E17/'HDFC IS'!$E$7</f>
        <v>0.2860370812915044</v>
      </c>
      <c r="K17" s="58" t="s">
        <v>323</v>
      </c>
    </row>
    <row r="18" spans="2:11" ht="15" customHeight="1" x14ac:dyDescent="0.25">
      <c r="B18" s="74" t="s">
        <v>6</v>
      </c>
      <c r="C18" s="69">
        <f>'SBI IS'!D18/'SBI IS'!$D$7</f>
        <v>5.5776935945886424E-2</v>
      </c>
      <c r="D18" s="69">
        <f>'SBI IS'!E18/'SBI IS'!$E$7</f>
        <v>5.6045219389943668E-2</v>
      </c>
      <c r="E18" s="74"/>
      <c r="F18" s="74"/>
      <c r="G18" s="74" t="s">
        <v>6</v>
      </c>
      <c r="H18" s="69">
        <f>'HDFC IS'!D18/'HDFC IS'!$D$7</f>
        <v>6.2820291488982757E-2</v>
      </c>
      <c r="I18" s="69">
        <f>'HDFC IS'!E18/'HDFC IS'!$E$7</f>
        <v>5.8796641511420257E-2</v>
      </c>
      <c r="K18" s="58" t="s">
        <v>324</v>
      </c>
    </row>
    <row r="19" spans="2:11" ht="15" customHeight="1" x14ac:dyDescent="0.25">
      <c r="B19" s="75" t="s">
        <v>7</v>
      </c>
      <c r="C19" s="69">
        <f>'SBI IS'!D19/'SBI IS'!$D$7</f>
        <v>0.16115665304462301</v>
      </c>
      <c r="D19" s="69">
        <f>'SBI IS'!E19/'SBI IS'!$E$7</f>
        <v>0.1653973224608703</v>
      </c>
      <c r="E19" s="74"/>
      <c r="F19" s="74"/>
      <c r="G19" s="75" t="s">
        <v>7</v>
      </c>
      <c r="H19" s="69">
        <f>'HDFC IS'!D19/'HDFC IS'!$D$7</f>
        <v>0.21833317809634534</v>
      </c>
      <c r="I19" s="69">
        <f>'HDFC IS'!E19/'HDFC IS'!$E$7</f>
        <v>0.22724043978008418</v>
      </c>
      <c r="K19" s="58" t="s">
        <v>325</v>
      </c>
    </row>
    <row r="20" spans="2:11" ht="15" customHeight="1" x14ac:dyDescent="0.25">
      <c r="B20" s="74" t="s">
        <v>12</v>
      </c>
      <c r="C20" s="69">
        <f>'SBI IS'!D20/'SBI IS'!$D$7</f>
        <v>3.0704301629908286E-3</v>
      </c>
      <c r="D20" s="69">
        <f>'SBI IS'!E20/'SBI IS'!$E$7</f>
        <v>2.9075631022634921E-3</v>
      </c>
      <c r="E20" s="74"/>
      <c r="F20" s="74"/>
      <c r="G20" s="74" t="s">
        <v>12</v>
      </c>
      <c r="H20" s="76" t="s">
        <v>62</v>
      </c>
      <c r="I20" s="76" t="s">
        <v>62</v>
      </c>
      <c r="K20" s="58" t="s">
        <v>326</v>
      </c>
    </row>
    <row r="21" spans="2:11" ht="15" customHeight="1" x14ac:dyDescent="0.25">
      <c r="B21" s="74" t="s">
        <v>13</v>
      </c>
      <c r="C21" s="69">
        <f>'SBI IS'!D21/'SBI IS'!$D$7</f>
        <v>6.0395910745194856E-3</v>
      </c>
      <c r="D21" s="69">
        <f>'SBI IS'!E21/'SBI IS'!$E$7</f>
        <v>6.5384970047916401E-3</v>
      </c>
      <c r="E21" s="74"/>
      <c r="F21" s="74"/>
      <c r="G21" s="74" t="s">
        <v>13</v>
      </c>
      <c r="H21" s="69">
        <f>'HDFC IS'!D20/'HDFC IS'!$D$7</f>
        <v>7.8721058100066355E-3</v>
      </c>
      <c r="I21" s="69">
        <f>'HDFC IS'!E20/'HDFC IS'!$E$7</f>
        <v>9.1605026344953721E-3</v>
      </c>
      <c r="K21" s="58" t="s">
        <v>327</v>
      </c>
    </row>
    <row r="22" spans="2:11" ht="15" customHeight="1" x14ac:dyDescent="0.25">
      <c r="B22" s="75" t="s">
        <v>14</v>
      </c>
      <c r="C22" s="69">
        <f>'SBI IS'!D22/'SBI IS'!$D$7</f>
        <v>0.15818749213309435</v>
      </c>
      <c r="D22" s="69">
        <f>'SBI IS'!E22/'SBI IS'!$E$7</f>
        <v>0.16176638855834213</v>
      </c>
      <c r="E22" s="74"/>
      <c r="F22" s="74"/>
      <c r="G22" s="75" t="s">
        <v>14</v>
      </c>
      <c r="H22" s="69">
        <f>'HDFC IS'!D21/'HDFC IS'!$D$7</f>
        <v>0.2104610722863387</v>
      </c>
      <c r="I22" s="69">
        <f>'HDFC IS'!E21/'HDFC IS'!$E$7</f>
        <v>0.21807993714558879</v>
      </c>
      <c r="K22" s="58" t="s">
        <v>328</v>
      </c>
    </row>
    <row r="23" spans="2:11" ht="15" customHeight="1" x14ac:dyDescent="0.25">
      <c r="C23" s="70"/>
    </row>
    <row r="26" spans="2:11" ht="15" customHeight="1" x14ac:dyDescent="0.25">
      <c r="B26" s="103" t="s">
        <v>20</v>
      </c>
      <c r="C26" s="103"/>
      <c r="D26" s="103"/>
      <c r="E26" s="121" t="s">
        <v>64</v>
      </c>
      <c r="G26" s="103" t="s">
        <v>21</v>
      </c>
      <c r="H26" s="103"/>
      <c r="I26" s="103"/>
    </row>
    <row r="27" spans="2:11" ht="15" customHeight="1" x14ac:dyDescent="0.25">
      <c r="B27" s="103"/>
      <c r="C27" s="103"/>
      <c r="D27" s="103"/>
      <c r="E27" s="121"/>
      <c r="G27" s="103"/>
      <c r="H27" s="103"/>
      <c r="I27" s="103"/>
    </row>
    <row r="28" spans="2:11" ht="15.75" customHeight="1" x14ac:dyDescent="0.25">
      <c r="B28" s="104" t="s">
        <v>139</v>
      </c>
      <c r="C28" s="104"/>
      <c r="D28" s="104"/>
      <c r="E28" s="121"/>
      <c r="G28" s="104" t="s">
        <v>139</v>
      </c>
      <c r="H28" s="104"/>
      <c r="I28" s="104"/>
    </row>
    <row r="29" spans="2:11" ht="15" customHeight="1" x14ac:dyDescent="0.25">
      <c r="B29" s="105" t="s">
        <v>19</v>
      </c>
      <c r="C29" s="105"/>
      <c r="D29" s="105"/>
      <c r="E29" s="121"/>
      <c r="G29" s="105" t="s">
        <v>19</v>
      </c>
      <c r="H29" s="105"/>
      <c r="I29" s="105"/>
      <c r="K29" s="72" t="s">
        <v>182</v>
      </c>
    </row>
    <row r="30" spans="2:11" ht="15" customHeight="1" x14ac:dyDescent="0.25">
      <c r="B30" s="5" t="s">
        <v>0</v>
      </c>
      <c r="C30" s="5">
        <v>2025</v>
      </c>
      <c r="D30" s="5">
        <v>2026</v>
      </c>
      <c r="E30" s="121"/>
      <c r="G30" s="5" t="s">
        <v>0</v>
      </c>
      <c r="H30" s="5">
        <v>2025</v>
      </c>
      <c r="I30" s="5">
        <v>2026</v>
      </c>
      <c r="K30" s="72" t="s">
        <v>183</v>
      </c>
    </row>
    <row r="32" spans="2:11" ht="15" customHeight="1" x14ac:dyDescent="0.25">
      <c r="B32" s="77" t="s">
        <v>22</v>
      </c>
      <c r="C32" s="78"/>
      <c r="D32" s="78"/>
      <c r="G32" s="77" t="s">
        <v>22</v>
      </c>
      <c r="H32" s="78"/>
      <c r="I32" s="78"/>
    </row>
    <row r="33" spans="2:11" ht="15" customHeight="1" x14ac:dyDescent="0.25">
      <c r="B33" s="74" t="s">
        <v>23</v>
      </c>
      <c r="C33" s="69">
        <f>'SBI BS'!D8/'SBI BS'!$D$24</f>
        <v>1.220179635073871E-4</v>
      </c>
      <c r="D33" s="69">
        <f>'SBI BS'!E8/'SBI BS'!$E$24</f>
        <v>1.1092401531867916E-4</v>
      </c>
      <c r="G33" s="74" t="s">
        <v>23</v>
      </c>
      <c r="H33" s="69">
        <f>'HDFC BS'!D8/'HDFC BS'!$D$24</f>
        <v>1.742138614867801E-4</v>
      </c>
      <c r="I33" s="69">
        <f>'HDFC BS'!E8/'HDFC BS'!$E$24</f>
        <v>3.1363634700317609E-4</v>
      </c>
      <c r="K33" s="58" t="s">
        <v>329</v>
      </c>
    </row>
    <row r="34" spans="2:11" ht="15" customHeight="1" x14ac:dyDescent="0.25">
      <c r="B34" s="79" t="s">
        <v>24</v>
      </c>
      <c r="C34" s="69">
        <f>'SBI BS'!D9/'SBI BS'!$D$24</f>
        <v>6.6465952672567538E-2</v>
      </c>
      <c r="D34" s="69">
        <f>'SBI BS'!E9/'SBI BS'!$E$24</f>
        <v>7.1525915131597728E-2</v>
      </c>
      <c r="G34" s="79" t="s">
        <v>24</v>
      </c>
      <c r="H34" s="69">
        <f>'HDFC BS'!D9/'HDFC BS'!$D$24</f>
        <v>0.11775269300338946</v>
      </c>
      <c r="I34" s="69">
        <f>'HDFC BS'!E9/'HDFC BS'!$E$24</f>
        <v>0.11816833618686841</v>
      </c>
      <c r="K34" s="58" t="s">
        <v>330</v>
      </c>
    </row>
    <row r="35" spans="2:11" ht="15" customHeight="1" x14ac:dyDescent="0.25">
      <c r="B35" s="74" t="s">
        <v>37</v>
      </c>
      <c r="C35" s="69">
        <f>'SBI BS'!D10/'SBI BS'!$D$24</f>
        <v>2.4645039686714311E-3</v>
      </c>
      <c r="D35" s="69">
        <f>'SBI BS'!E10/'SBI BS'!$E$24</f>
        <v>2.2553779534051728E-3</v>
      </c>
      <c r="G35" s="74" t="s">
        <v>37</v>
      </c>
      <c r="H35" s="69">
        <f>'HDFC BS'!D10/'HDFC BS'!$D$24</f>
        <v>4.5906907454164496E-3</v>
      </c>
      <c r="I35" s="69">
        <f>'HDFC BS'!E10/'HDFC BS'!$E$24</f>
        <v>5.4869286703001438E-3</v>
      </c>
      <c r="K35" s="58" t="s">
        <v>331</v>
      </c>
    </row>
    <row r="36" spans="2:11" ht="15" customHeight="1" x14ac:dyDescent="0.25">
      <c r="B36" s="79"/>
      <c r="C36" s="69"/>
      <c r="D36" s="69"/>
      <c r="G36" s="79"/>
      <c r="H36" s="69"/>
      <c r="I36" s="69"/>
      <c r="K36" s="58"/>
    </row>
    <row r="37" spans="2:11" ht="15" customHeight="1" x14ac:dyDescent="0.25">
      <c r="B37" s="74" t="s">
        <v>25</v>
      </c>
      <c r="C37" s="69">
        <f>'SBI BS'!D12/'SBI BS'!$D$24</f>
        <v>0.74374626366864849</v>
      </c>
      <c r="D37" s="69">
        <f>'SBI BS'!E12/'SBI BS'!$E$24</f>
        <v>0.72619687849907033</v>
      </c>
      <c r="G37" s="74" t="s">
        <v>25</v>
      </c>
      <c r="H37" s="69">
        <f>'HDFC BS'!D12/'HDFC BS'!$D$24</f>
        <v>0.6171768233265954</v>
      </c>
      <c r="I37" s="69">
        <f>'HDFC BS'!E12/'HDFC BS'!$E$24</f>
        <v>0.63154288870994812</v>
      </c>
      <c r="K37" s="58" t="s">
        <v>332</v>
      </c>
    </row>
    <row r="38" spans="2:11" ht="15" customHeight="1" x14ac:dyDescent="0.25">
      <c r="B38" s="79" t="s">
        <v>26</v>
      </c>
      <c r="C38" s="69">
        <f>'SBI BS'!D13/'SBI BS'!$D$24</f>
        <v>8.3516785060465337E-2</v>
      </c>
      <c r="D38" s="69">
        <f>'SBI BS'!E13/'SBI BS'!$E$24</f>
        <v>9.3408128295659268E-2</v>
      </c>
      <c r="G38" s="79" t="s">
        <v>26</v>
      </c>
      <c r="H38" s="69">
        <f>'HDFC BS'!D13/'HDFC BS'!$D$24</f>
        <v>0.14447751871451234</v>
      </c>
      <c r="I38" s="69">
        <f>'HDFC BS'!E13/'HDFC BS'!$E$24</f>
        <v>0.11990212982824325</v>
      </c>
      <c r="K38" s="58" t="s">
        <v>333</v>
      </c>
    </row>
    <row r="39" spans="2:11" ht="15" customHeight="1" x14ac:dyDescent="0.25">
      <c r="B39" s="79" t="s">
        <v>27</v>
      </c>
      <c r="C39" s="69">
        <f>'SBI BS'!D14/'SBI BS'!$D$24</f>
        <v>0.10368447665246783</v>
      </c>
      <c r="D39" s="69">
        <f>'SBI BS'!E14/'SBI BS'!$E$24</f>
        <v>0.10650277610494871</v>
      </c>
      <c r="G39" s="79" t="s">
        <v>27</v>
      </c>
      <c r="H39" s="69">
        <f>'HDFC BS'!D14/'HDFC BS'!$D$24</f>
        <v>0.11582806034859956</v>
      </c>
      <c r="I39" s="69">
        <f>'HDFC BS'!E14/'HDFC BS'!$E$24</f>
        <v>0.12458608025763697</v>
      </c>
      <c r="K39" s="58" t="s">
        <v>334</v>
      </c>
    </row>
    <row r="40" spans="2:11" ht="15" customHeight="1" x14ac:dyDescent="0.25">
      <c r="B40" s="80" t="s">
        <v>28</v>
      </c>
      <c r="C40" s="69">
        <f>'SBI BS'!D15/'SBI BS'!$D$24</f>
        <v>0.99999999998632805</v>
      </c>
      <c r="D40" s="69">
        <f>'SBI BS'!E15/'SBI BS'!$E$24</f>
        <v>1</v>
      </c>
      <c r="G40" s="80" t="s">
        <v>28</v>
      </c>
      <c r="H40" s="69">
        <f>'HDFC BS'!D15/'HDFC BS'!$D$24</f>
        <v>1</v>
      </c>
      <c r="I40" s="69">
        <f>'HDFC BS'!E15/'HDFC BS'!$E$24</f>
        <v>1</v>
      </c>
      <c r="J40" s="81"/>
      <c r="K40" s="58" t="s">
        <v>335</v>
      </c>
    </row>
    <row r="41" spans="2:11" ht="15" customHeight="1" x14ac:dyDescent="0.25">
      <c r="B41" s="74"/>
      <c r="C41" s="69"/>
      <c r="D41" s="69"/>
      <c r="G41" s="74"/>
      <c r="H41" s="69"/>
      <c r="I41" s="69"/>
      <c r="K41" s="58"/>
    </row>
    <row r="42" spans="2:11" ht="15" customHeight="1" x14ac:dyDescent="0.25">
      <c r="B42" s="78" t="s">
        <v>29</v>
      </c>
      <c r="C42" s="69"/>
      <c r="D42" s="69"/>
      <c r="G42" s="78" t="s">
        <v>29</v>
      </c>
      <c r="H42" s="69"/>
      <c r="I42" s="69"/>
      <c r="K42" s="58"/>
    </row>
    <row r="43" spans="2:11" ht="15" customHeight="1" x14ac:dyDescent="0.25">
      <c r="B43" s="79" t="s">
        <v>30</v>
      </c>
      <c r="C43" s="69">
        <f>'SBI BS'!D18/'SBI BS'!$D$24</f>
        <v>3.1101913104531542E-2</v>
      </c>
      <c r="D43" s="69">
        <f>'SBI BS'!E18/'SBI BS'!$E$24</f>
        <v>3.228739082112652E-2</v>
      </c>
      <c r="G43" s="79" t="s">
        <v>30</v>
      </c>
      <c r="H43" s="69">
        <f>'HDFC BS'!D18/'HDFC BS'!$D$24</f>
        <v>3.287261573605179E-2</v>
      </c>
      <c r="I43" s="69">
        <f>'HDFC BS'!E18/'HDFC BS'!$E$24</f>
        <v>4.0893528913667307E-2</v>
      </c>
      <c r="K43" s="58" t="s">
        <v>336</v>
      </c>
    </row>
    <row r="44" spans="2:11" ht="15" customHeight="1" x14ac:dyDescent="0.25">
      <c r="B44" s="74" t="s">
        <v>31</v>
      </c>
      <c r="C44" s="69">
        <f>'SBI BS'!D19/'SBI BS'!$D$24</f>
        <v>1.7834902975774482E-2</v>
      </c>
      <c r="D44" s="69">
        <f>'SBI BS'!E19/'SBI BS'!$E$24</f>
        <v>1.6001967827658208E-2</v>
      </c>
      <c r="G44" s="74" t="s">
        <v>31</v>
      </c>
      <c r="H44" s="69">
        <f>'HDFC BS'!D19/'HDFC BS'!$D$24</f>
        <v>2.4031789310224528E-2</v>
      </c>
      <c r="I44" s="69">
        <f>'HDFC BS'!E19/'HDFC BS'!$E$24</f>
        <v>2.2660557160318985E-2</v>
      </c>
      <c r="K44" s="58" t="s">
        <v>337</v>
      </c>
    </row>
    <row r="45" spans="2:11" ht="15" customHeight="1" x14ac:dyDescent="0.25">
      <c r="B45" s="79" t="s">
        <v>32</v>
      </c>
      <c r="C45" s="69">
        <f>'SBI BS'!D20/'SBI BS'!$D$24</f>
        <v>0.30155116469317678</v>
      </c>
      <c r="D45" s="69">
        <f>'SBI BS'!E20/'SBI BS'!$E$24</f>
        <v>0.28354055491597413</v>
      </c>
      <c r="G45" s="79" t="s">
        <v>32</v>
      </c>
      <c r="H45" s="69">
        <f>'HDFC BS'!D20/'HDFC BS'!$D$24</f>
        <v>0.27011842831640531</v>
      </c>
      <c r="I45" s="69">
        <f>'HDFC BS'!E20/'HDFC BS'!$E$24</f>
        <v>0.26084059439081603</v>
      </c>
      <c r="K45" s="58" t="s">
        <v>338</v>
      </c>
    </row>
    <row r="46" spans="2:11" ht="15" customHeight="1" x14ac:dyDescent="0.25">
      <c r="B46" s="79" t="s">
        <v>33</v>
      </c>
      <c r="C46" s="69">
        <f>'SBI BS'!D21/'SBI BS'!$D$24</f>
        <v>0.5811762401874081</v>
      </c>
      <c r="D46" s="69">
        <f>'SBI BS'!E21/'SBI BS'!$E$24</f>
        <v>0.59820611491849229</v>
      </c>
      <c r="G46" s="79" t="s">
        <v>33</v>
      </c>
      <c r="H46" s="69">
        <f>'HDFC BS'!D21/'HDFC BS'!$D$24</f>
        <v>0.62037322491085112</v>
      </c>
      <c r="I46" s="69">
        <f>'HDFC BS'!E21/'HDFC BS'!$E$24</f>
        <v>0.6215888028348191</v>
      </c>
      <c r="K46" s="58" t="s">
        <v>339</v>
      </c>
    </row>
    <row r="47" spans="2:11" ht="15" customHeight="1" x14ac:dyDescent="0.25">
      <c r="B47" s="79" t="s">
        <v>34</v>
      </c>
      <c r="C47" s="69">
        <f>'SBI BS'!D22/'SBI BS'!$D$24</f>
        <v>6.3353187321517537E-3</v>
      </c>
      <c r="D47" s="69">
        <f>'SBI BS'!E22/'SBI BS'!$E$24</f>
        <v>6.8679481266540375E-3</v>
      </c>
      <c r="G47" s="79" t="s">
        <v>34</v>
      </c>
      <c r="H47" s="69">
        <f>'HDFC BS'!D22/'HDFC BS'!$D$24</f>
        <v>3.4736999107885334E-3</v>
      </c>
      <c r="I47" s="69">
        <f>'HDFC BS'!E22/'HDFC BS'!$E$24</f>
        <v>3.360116701881397E-3</v>
      </c>
      <c r="K47" s="58" t="s">
        <v>181</v>
      </c>
    </row>
    <row r="48" spans="2:11" ht="15" customHeight="1" x14ac:dyDescent="0.25">
      <c r="B48" s="79" t="s">
        <v>35</v>
      </c>
      <c r="C48" s="69">
        <f>'SBI BS'!D23/'SBI BS'!$D$24</f>
        <v>6.2000460306957397E-2</v>
      </c>
      <c r="D48" s="69">
        <f>'SBI BS'!E23/'SBI BS'!$E$24</f>
        <v>6.309602339009468E-2</v>
      </c>
      <c r="G48" s="79" t="s">
        <v>35</v>
      </c>
      <c r="H48" s="69">
        <f>'HDFC BS'!D23/'HDFC BS'!$D$24</f>
        <v>4.91302418156788E-2</v>
      </c>
      <c r="I48" s="69">
        <f>'HDFC BS'!E23/'HDFC BS'!$E$24</f>
        <v>5.0656399998497158E-2</v>
      </c>
      <c r="K48" s="58" t="s">
        <v>340</v>
      </c>
    </row>
    <row r="49" spans="2:11" ht="15" customHeight="1" x14ac:dyDescent="0.25">
      <c r="B49" s="80" t="s">
        <v>36</v>
      </c>
      <c r="C49" s="69">
        <f>'SBI BS'!D24/'SBI BS'!$D$24</f>
        <v>1</v>
      </c>
      <c r="D49" s="69">
        <f>'SBI BS'!E24/'SBI BS'!$E$24</f>
        <v>1</v>
      </c>
      <c r="G49" s="80" t="s">
        <v>36</v>
      </c>
      <c r="H49" s="69">
        <f>'HDFC BS'!D24/'HDFC BS'!$D$24</f>
        <v>1</v>
      </c>
      <c r="I49" s="69">
        <f>'HDFC BS'!E24/'HDFC BS'!$E$24</f>
        <v>1</v>
      </c>
      <c r="K49" s="58" t="s">
        <v>178</v>
      </c>
    </row>
    <row r="53" spans="2:11" ht="15" customHeight="1" x14ac:dyDescent="0.25">
      <c r="B53" s="103" t="s">
        <v>20</v>
      </c>
      <c r="C53" s="103"/>
      <c r="D53" s="103"/>
      <c r="E53" s="121" t="s">
        <v>64</v>
      </c>
      <c r="G53" s="103" t="s">
        <v>21</v>
      </c>
      <c r="H53" s="103"/>
      <c r="I53" s="103"/>
    </row>
    <row r="54" spans="2:11" ht="15" customHeight="1" x14ac:dyDescent="0.25">
      <c r="B54" s="103"/>
      <c r="C54" s="103"/>
      <c r="D54" s="103"/>
      <c r="E54" s="121"/>
      <c r="G54" s="103"/>
      <c r="H54" s="103"/>
      <c r="I54" s="103"/>
    </row>
    <row r="55" spans="2:11" ht="15.75" customHeight="1" x14ac:dyDescent="0.25">
      <c r="B55" s="104" t="s">
        <v>141</v>
      </c>
      <c r="C55" s="104"/>
      <c r="D55" s="104"/>
      <c r="E55" s="121"/>
      <c r="G55" s="104" t="s">
        <v>141</v>
      </c>
      <c r="H55" s="104"/>
      <c r="I55" s="104"/>
    </row>
    <row r="56" spans="2:11" ht="15" customHeight="1" x14ac:dyDescent="0.25">
      <c r="B56" s="105" t="s">
        <v>19</v>
      </c>
      <c r="C56" s="105"/>
      <c r="D56" s="105"/>
      <c r="E56" s="121"/>
      <c r="G56" s="105" t="s">
        <v>19</v>
      </c>
      <c r="H56" s="105"/>
      <c r="I56" s="105"/>
      <c r="K56" s="72" t="s">
        <v>186</v>
      </c>
    </row>
    <row r="57" spans="2:11" ht="15" customHeight="1" x14ac:dyDescent="0.25">
      <c r="B57" s="5" t="s">
        <v>0</v>
      </c>
      <c r="C57" s="5">
        <v>2025</v>
      </c>
      <c r="D57" s="5">
        <v>2026</v>
      </c>
      <c r="E57" s="121"/>
      <c r="G57" s="5" t="s">
        <v>0</v>
      </c>
      <c r="H57" s="5">
        <v>2025</v>
      </c>
      <c r="I57" s="5">
        <v>2026</v>
      </c>
      <c r="K57" s="72" t="s">
        <v>187</v>
      </c>
    </row>
    <row r="59" spans="2:11" ht="15" customHeight="1" x14ac:dyDescent="0.25">
      <c r="B59" s="82" t="s">
        <v>41</v>
      </c>
      <c r="C59" s="74"/>
      <c r="D59" s="74"/>
      <c r="G59" s="82" t="s">
        <v>41</v>
      </c>
      <c r="H59" s="74"/>
      <c r="I59" s="74"/>
    </row>
    <row r="60" spans="2:11" ht="15" customHeight="1" x14ac:dyDescent="0.25">
      <c r="B60" s="75" t="s">
        <v>61</v>
      </c>
      <c r="C60" s="69">
        <f>'SBI CF'!D8/'SBI IS'!D$22</f>
        <v>1.3526001657511413</v>
      </c>
      <c r="D60" s="69">
        <f>'SBI CF'!E8/'SBI IS'!E$22</f>
        <v>1.3464577523762336</v>
      </c>
      <c r="G60" s="75" t="s">
        <v>61</v>
      </c>
      <c r="H60" s="69">
        <f>'HDFC CF'!D8/'HDFC IS'!D$21</f>
        <v>1.3220957096292321</v>
      </c>
      <c r="I60" s="69">
        <f>'HDFC CF'!E8/'HDFC IS'!E$21</f>
        <v>1.3015021051359164</v>
      </c>
      <c r="K60" s="58" t="s">
        <v>341</v>
      </c>
    </row>
    <row r="61" spans="2:11" ht="15" customHeight="1" x14ac:dyDescent="0.25">
      <c r="B61" s="74" t="s">
        <v>42</v>
      </c>
      <c r="C61" s="69">
        <f>'SBI CF'!D9/'SBI IS'!D$22</f>
        <v>5.1462196186351922E-2</v>
      </c>
      <c r="D61" s="69">
        <f>'SBI CF'!E9/'SBI IS'!E$22</f>
        <v>5.7980659273837776E-2</v>
      </c>
      <c r="G61" s="74" t="s">
        <v>42</v>
      </c>
      <c r="H61" s="69">
        <f>'HDFC CF'!D9/'HDFC IS'!D$21</f>
        <v>5.3752070318431773E-2</v>
      </c>
      <c r="I61" s="69">
        <f>'HDFC CF'!E9/'HDFC IS'!E$21</f>
        <v>5.5177198002208966E-2</v>
      </c>
      <c r="K61" s="58" t="s">
        <v>342</v>
      </c>
    </row>
    <row r="62" spans="2:11" ht="15" customHeight="1" x14ac:dyDescent="0.25">
      <c r="B62" s="74" t="s">
        <v>44</v>
      </c>
      <c r="C62" s="69">
        <f>'SBI CF'!D10/'SBI IS'!D$22</f>
        <v>0.26250386465105785</v>
      </c>
      <c r="D62" s="69">
        <f>'SBI CF'!E10/'SBI IS'!E$22</f>
        <v>0.34686805007499172</v>
      </c>
      <c r="G62" s="74" t="s">
        <v>44</v>
      </c>
      <c r="H62" s="69">
        <f>'HDFC CF'!D10/'HDFC IS'!D$21</f>
        <v>0.28594655488418586</v>
      </c>
      <c r="I62" s="69">
        <f>'HDFC CF'!E10/'HDFC IS'!E$21</f>
        <v>0.39989585137815398</v>
      </c>
      <c r="K62" s="58" t="s">
        <v>343</v>
      </c>
    </row>
    <row r="63" spans="2:11" ht="15" customHeight="1" x14ac:dyDescent="0.25">
      <c r="B63" s="74" t="s">
        <v>43</v>
      </c>
      <c r="C63" s="69">
        <f>'SBI CF'!D11/'SBI IS'!D$22</f>
        <v>-0.43528704834252185</v>
      </c>
      <c r="D63" s="69">
        <f>'SBI CF'!E11/'SBI IS'!E$22</f>
        <v>-0.43605637323487734</v>
      </c>
      <c r="G63" s="74" t="s">
        <v>43</v>
      </c>
      <c r="H63" s="69">
        <f>'HDFC CF'!D11/'HDFC IS'!D$21</f>
        <v>0.41400520537205715</v>
      </c>
      <c r="I63" s="69">
        <f>'HDFC CF'!E11/'HDFC IS'!E$21</f>
        <v>-0.29800829900624737</v>
      </c>
      <c r="K63" s="58" t="s">
        <v>344</v>
      </c>
    </row>
    <row r="64" spans="2:11" ht="15" customHeight="1" x14ac:dyDescent="0.25">
      <c r="B64" s="74" t="s">
        <v>45</v>
      </c>
      <c r="C64" s="69">
        <f>'SBI CF'!D12/'SBI IS'!D$22</f>
        <v>-0.64485287064974506</v>
      </c>
      <c r="D64" s="69">
        <f>'SBI CF'!E12/'SBI IS'!E$22</f>
        <v>-0.85789182124390007</v>
      </c>
      <c r="G64" s="74" t="s">
        <v>45</v>
      </c>
      <c r="H64" s="69">
        <f>'HDFC CF'!D12/'HDFC IS'!D$21</f>
        <v>-0.27840166119878951</v>
      </c>
      <c r="I64" s="69">
        <f>'HDFC CF'!E12/'HDFC IS'!E$21</f>
        <v>3.4427972441522278E-2</v>
      </c>
      <c r="K64" s="58" t="s">
        <v>345</v>
      </c>
    </row>
    <row r="65" spans="2:11" ht="15" customHeight="1" x14ac:dyDescent="0.25">
      <c r="B65" s="74"/>
      <c r="C65" s="69"/>
      <c r="D65" s="69"/>
      <c r="G65" s="74"/>
      <c r="H65" s="69"/>
      <c r="I65" s="69"/>
      <c r="K65" s="58"/>
    </row>
    <row r="66" spans="2:11" ht="15" customHeight="1" x14ac:dyDescent="0.25">
      <c r="B66" s="75" t="s">
        <v>46</v>
      </c>
      <c r="C66" s="69">
        <f>'SBI CF'!D14/'SBI IS'!D$22</f>
        <v>0.58642630759628422</v>
      </c>
      <c r="D66" s="69">
        <f>'SBI CF'!E14/'SBI IS'!E$22</f>
        <v>0.45735826724628542</v>
      </c>
      <c r="G66" s="75" t="s">
        <v>46</v>
      </c>
      <c r="H66" s="69">
        <f>'HDFC CF'!D14/'HDFC IS'!D$21</f>
        <v>1.7973978790051173</v>
      </c>
      <c r="I66" s="69">
        <f>'HDFC CF'!E14/'HDFC IS'!E$21</f>
        <v>1.4929948279515539</v>
      </c>
      <c r="K66" s="58" t="s">
        <v>346</v>
      </c>
    </row>
    <row r="67" spans="2:11" ht="15" customHeight="1" x14ac:dyDescent="0.25">
      <c r="B67" s="74"/>
      <c r="C67" s="69"/>
      <c r="D67" s="69"/>
      <c r="G67" s="74"/>
      <c r="H67" s="69"/>
      <c r="I67" s="69"/>
      <c r="K67" s="58"/>
    </row>
    <row r="68" spans="2:11" ht="15" customHeight="1" x14ac:dyDescent="0.25">
      <c r="B68" s="82" t="s">
        <v>47</v>
      </c>
      <c r="C68" s="69"/>
      <c r="D68" s="69"/>
      <c r="G68" s="82" t="s">
        <v>47</v>
      </c>
      <c r="H68" s="69"/>
      <c r="I68" s="69"/>
      <c r="K68" s="58"/>
    </row>
    <row r="69" spans="2:11" ht="15" customHeight="1" x14ac:dyDescent="0.25">
      <c r="B69" s="74" t="s">
        <v>49</v>
      </c>
      <c r="C69" s="76" t="s">
        <v>62</v>
      </c>
      <c r="D69" s="76" t="s">
        <v>62</v>
      </c>
      <c r="G69" s="74" t="s">
        <v>49</v>
      </c>
      <c r="H69" s="76" t="s">
        <v>62</v>
      </c>
      <c r="I69" s="76" t="s">
        <v>62</v>
      </c>
      <c r="K69" s="58" t="s">
        <v>184</v>
      </c>
    </row>
    <row r="70" spans="2:11" ht="15" customHeight="1" x14ac:dyDescent="0.25">
      <c r="B70" s="74" t="s">
        <v>48</v>
      </c>
      <c r="C70" s="69">
        <f>'SBI CF'!D18/'SBI BS'!D$24</f>
        <v>-8.9128176225391841E-7</v>
      </c>
      <c r="D70" s="69">
        <f>'SBI CF'!E18/'SBI BS'!E$24</f>
        <v>9.348491009398284E-4</v>
      </c>
      <c r="G70" s="74" t="s">
        <v>48</v>
      </c>
      <c r="H70" s="76">
        <f>'HDFC CF'!D18/'HDFC BS'!D$24</f>
        <v>4.371169259227644E-5</v>
      </c>
      <c r="I70" s="76">
        <f>'HDFC CF'!E18/'HDFC BS'!E$24</f>
        <v>1.9979458850631735E-3</v>
      </c>
      <c r="K70" s="58" t="s">
        <v>347</v>
      </c>
    </row>
    <row r="71" spans="2:11" ht="15" customHeight="1" x14ac:dyDescent="0.25">
      <c r="B71" s="74" t="s">
        <v>50</v>
      </c>
      <c r="C71" s="69">
        <f>'SBI CF'!D19/'SBI BS'!D$24</f>
        <v>-7.707248090302591E-4</v>
      </c>
      <c r="D71" s="69">
        <f>'SBI CF'!E19/'SBI BS'!E$24</f>
        <v>-1.0049737769305084E-3</v>
      </c>
      <c r="G71" s="74" t="s">
        <v>50</v>
      </c>
      <c r="H71" s="76">
        <f>'HDFC CF'!D19/'HDFC BS'!D$24</f>
        <v>-9.0500733876062263E-4</v>
      </c>
      <c r="I71" s="76">
        <f>'HDFC CF'!E19/'HDFC BS'!E$24</f>
        <v>-6.8508191142109564E-4</v>
      </c>
      <c r="K71" s="58" t="s">
        <v>348</v>
      </c>
    </row>
    <row r="72" spans="2:11" ht="15" customHeight="1" x14ac:dyDescent="0.25">
      <c r="B72" s="74" t="s">
        <v>51</v>
      </c>
      <c r="C72" s="69">
        <f>'SBI CF'!D20/'SBI BS'!D$24</f>
        <v>1.2306086844410637E-6</v>
      </c>
      <c r="D72" s="69">
        <f>'SBI CF'!E20/'SBI BS'!E$24</f>
        <v>1.1174575943326844E-7</v>
      </c>
      <c r="G72" s="74" t="s">
        <v>51</v>
      </c>
      <c r="H72" s="76">
        <f>'HDFC CF'!D20/'HDFC BS'!D$24</f>
        <v>-1.5360561975004643E-5</v>
      </c>
      <c r="I72" s="76">
        <f>'HDFC CF'!E20/'HDFC BS'!E$24</f>
        <v>-1.647704300683855E-5</v>
      </c>
      <c r="K72" s="58" t="s">
        <v>185</v>
      </c>
    </row>
    <row r="73" spans="2:11" ht="15" customHeight="1" x14ac:dyDescent="0.25">
      <c r="B73" s="75" t="s">
        <v>52</v>
      </c>
      <c r="C73" s="69">
        <f>'SBI CF'!D21/'SBI BS'!D$24</f>
        <v>-7.7038548210807206E-4</v>
      </c>
      <c r="D73" s="69">
        <f>'SBI CF'!E21/'SBI BS'!E$24</f>
        <v>-8.3023494169357095E-5</v>
      </c>
      <c r="G73" s="75" t="s">
        <v>52</v>
      </c>
      <c r="H73" s="76">
        <f>'HDFC CF'!D21/'HDFC BS'!D$24</f>
        <v>-8.7665620814335083E-4</v>
      </c>
      <c r="I73" s="76">
        <f>'HDFC CF'!E21/'HDFC BS'!E$24</f>
        <v>1.2963869306352391E-3</v>
      </c>
      <c r="K73" s="58" t="s">
        <v>349</v>
      </c>
    </row>
    <row r="74" spans="2:11" ht="15" customHeight="1" x14ac:dyDescent="0.25">
      <c r="B74" s="74"/>
      <c r="C74" s="69"/>
      <c r="D74" s="69"/>
      <c r="G74" s="74"/>
      <c r="H74" s="76"/>
      <c r="I74" s="76"/>
      <c r="K74" s="58"/>
    </row>
    <row r="75" spans="2:11" ht="15" customHeight="1" x14ac:dyDescent="0.25">
      <c r="B75" s="82" t="s">
        <v>53</v>
      </c>
      <c r="C75" s="69">
        <f>'SBI CF'!D23/'SBI BS'!D$24</f>
        <v>0</v>
      </c>
      <c r="D75" s="69">
        <f>'SBI CF'!E23/'SBI BS'!E$24</f>
        <v>0</v>
      </c>
      <c r="G75" s="82" t="s">
        <v>53</v>
      </c>
      <c r="H75" s="76">
        <f>'HDFC CF'!D23/'HDFC BS'!D$24</f>
        <v>0</v>
      </c>
      <c r="I75" s="76">
        <f>'HDFC CF'!E23/'HDFC BS'!E$24</f>
        <v>0</v>
      </c>
      <c r="K75" s="58"/>
    </row>
    <row r="76" spans="2:11" ht="15" customHeight="1" x14ac:dyDescent="0.25">
      <c r="B76" s="74" t="s">
        <v>54</v>
      </c>
      <c r="C76" s="69">
        <f>'SBI CF'!D24/'SBI BS'!D$24</f>
        <v>-1.6716445824522524E-3</v>
      </c>
      <c r="D76" s="69">
        <f>'SBI CF'!E24/'SBI BS'!E$24</f>
        <v>-1.7052248952192501E-3</v>
      </c>
      <c r="G76" s="74" t="s">
        <v>54</v>
      </c>
      <c r="H76" s="76">
        <f>'HDFC CF'!D24/'HDFC BS'!D$24</f>
        <v>-3.3754055187223079E-3</v>
      </c>
      <c r="I76" s="76">
        <f>'HDFC CF'!E24/'HDFC BS'!E$24</f>
        <v>-4.2187872259025457E-3</v>
      </c>
      <c r="K76" s="58" t="s">
        <v>350</v>
      </c>
    </row>
    <row r="77" spans="2:11" ht="15" customHeight="1" x14ac:dyDescent="0.25">
      <c r="B77" s="79" t="s">
        <v>55</v>
      </c>
      <c r="C77" s="69">
        <f>'SBI CF'!D25/'SBI BS'!D$24</f>
        <v>2.0370338329942257E-4</v>
      </c>
      <c r="D77" s="69">
        <f>'SBI CF'!E25/'SBI BS'!E$24</f>
        <v>1.2933869863632902E-3</v>
      </c>
      <c r="G77" s="79" t="s">
        <v>55</v>
      </c>
      <c r="H77" s="76">
        <f>'HDFC CF'!D25/'HDFC BS'!D$24</f>
        <v>-1.9955150346343906E-2</v>
      </c>
      <c r="I77" s="76">
        <f>'HDFC CF'!E25/'HDFC BS'!E$24</f>
        <v>-7.8032908136925778E-3</v>
      </c>
      <c r="K77" s="58" t="s">
        <v>351</v>
      </c>
    </row>
    <row r="78" spans="2:11" ht="15" customHeight="1" x14ac:dyDescent="0.25">
      <c r="B78" s="75" t="s">
        <v>56</v>
      </c>
      <c r="C78" s="69">
        <f>'SBI CF'!D26/'SBI BS'!D$24</f>
        <v>-1.4679411991528298E-3</v>
      </c>
      <c r="D78" s="69">
        <f>'SBI CF'!E26/'SBI BS'!E$24</f>
        <v>-4.1183790885595986E-4</v>
      </c>
      <c r="G78" s="75" t="s">
        <v>56</v>
      </c>
      <c r="H78" s="76">
        <f>'HDFC CF'!D26/'HDFC BS'!D$24</f>
        <v>-2.3330555865066216E-2</v>
      </c>
      <c r="I78" s="76">
        <f>'HDFC CF'!E26/'HDFC BS'!E$24</f>
        <v>-1.2022078039595124E-2</v>
      </c>
      <c r="K78" s="58" t="s">
        <v>352</v>
      </c>
    </row>
    <row r="79" spans="2:11" ht="15" customHeight="1" x14ac:dyDescent="0.25">
      <c r="B79" s="74"/>
      <c r="C79" s="69"/>
      <c r="D79" s="69"/>
      <c r="G79" s="74"/>
      <c r="H79" s="76"/>
      <c r="I79" s="76"/>
      <c r="K79" s="58"/>
    </row>
    <row r="80" spans="2:11" ht="15" customHeight="1" x14ac:dyDescent="0.25">
      <c r="B80" s="74" t="s">
        <v>58</v>
      </c>
      <c r="C80" s="69">
        <f>'SBI CF'!D28/'SBI BS'!D$24</f>
        <v>3.0737078638946598E-4</v>
      </c>
      <c r="D80" s="69">
        <f>'SBI CF'!E28/'SBI BS'!E$24</f>
        <v>1.1933927614067295E-3</v>
      </c>
      <c r="G80" s="74" t="s">
        <v>58</v>
      </c>
      <c r="H80" s="76">
        <f>'HDFC CF'!D28/'HDFC BS'!D$24</f>
        <v>4.5471543549246735E-5</v>
      </c>
      <c r="I80" s="76">
        <f>'HDFC CF'!E28/'HDFC BS'!E$24</f>
        <v>2.2695410171036802E-4</v>
      </c>
      <c r="K80" s="58" t="s">
        <v>353</v>
      </c>
    </row>
    <row r="81" spans="2:11" ht="15" customHeight="1" x14ac:dyDescent="0.25">
      <c r="B81" s="75" t="s">
        <v>57</v>
      </c>
      <c r="C81" s="69">
        <f>'SBI CF'!D29/'SBI BS'!D$24</f>
        <v>4.2876461613659232E-3</v>
      </c>
      <c r="D81" s="69">
        <f>'SBI CF'!E29/'SBI BS'!E$24</f>
        <v>5.2766812420603484E-3</v>
      </c>
      <c r="G81" s="75" t="s">
        <v>57</v>
      </c>
      <c r="H81" s="76">
        <f>'HDFC CF'!D29/'HDFC BS'!D$24</f>
        <v>4.8067813190668844E-3</v>
      </c>
      <c r="I81" s="76">
        <f>'HDFC CF'!E29/'HDFC BS'!E$24</f>
        <v>1.2627879844618412E-2</v>
      </c>
      <c r="K81" s="58" t="s">
        <v>354</v>
      </c>
    </row>
    <row r="82" spans="2:11" ht="15" customHeight="1" x14ac:dyDescent="0.25">
      <c r="B82" s="74"/>
      <c r="C82" s="69"/>
      <c r="D82" s="69"/>
      <c r="G82" s="74"/>
      <c r="H82" s="76"/>
      <c r="I82" s="76"/>
      <c r="K82" s="58"/>
    </row>
    <row r="83" spans="2:11" ht="15" customHeight="1" x14ac:dyDescent="0.25">
      <c r="B83" s="77" t="s">
        <v>59</v>
      </c>
      <c r="C83" s="69">
        <f>'SBI CF'!D31/'SBI BS'!D$24</f>
        <v>4.4649169836907726E-2</v>
      </c>
      <c r="D83" s="69">
        <f>'SBI CF'!E31/'SBI BS'!E$24</f>
        <v>4.3012677190419013E-2</v>
      </c>
      <c r="G83" s="77" t="s">
        <v>59</v>
      </c>
      <c r="H83" s="76">
        <f>'HDFC CF'!D31/'HDFC BS'!D$24</f>
        <v>5.2097623727209427E-2</v>
      </c>
      <c r="I83" s="76">
        <f>'HDFC CF'!E31/'HDFC BS'!E$24</f>
        <v>5.0926206229367887E-2</v>
      </c>
      <c r="K83" s="58" t="s">
        <v>355</v>
      </c>
    </row>
    <row r="84" spans="2:11" ht="15" customHeight="1" x14ac:dyDescent="0.25">
      <c r="B84" s="77" t="s">
        <v>60</v>
      </c>
      <c r="C84" s="69">
        <f>'SBI CF'!D32/'SBI BS'!D$24</f>
        <v>4.8936815998273646E-2</v>
      </c>
      <c r="D84" s="69">
        <f>'SBI CF'!E32/'SBI BS'!E$24</f>
        <v>4.8289358432479355E-2</v>
      </c>
      <c r="G84" s="77" t="s">
        <v>60</v>
      </c>
      <c r="H84" s="76">
        <f>'HDFC CF'!D32/'HDFC BS'!D$24</f>
        <v>5.6904405046276307E-2</v>
      </c>
      <c r="I84" s="76">
        <f>'HDFC CF'!E32/'HDFC BS'!E$24</f>
        <v>6.3554086073986299E-2</v>
      </c>
      <c r="K84" s="58" t="s">
        <v>356</v>
      </c>
    </row>
  </sheetData>
  <mergeCells count="21">
    <mergeCell ref="B1:D2"/>
    <mergeCell ref="E1:E5"/>
    <mergeCell ref="G1:I2"/>
    <mergeCell ref="B3:D3"/>
    <mergeCell ref="G3:I3"/>
    <mergeCell ref="B4:D4"/>
    <mergeCell ref="G4:I4"/>
    <mergeCell ref="B26:D27"/>
    <mergeCell ref="G26:I27"/>
    <mergeCell ref="B28:D28"/>
    <mergeCell ref="G28:I28"/>
    <mergeCell ref="B29:D29"/>
    <mergeCell ref="G29:I29"/>
    <mergeCell ref="E26:E30"/>
    <mergeCell ref="B53:D54"/>
    <mergeCell ref="G53:I54"/>
    <mergeCell ref="B55:D55"/>
    <mergeCell ref="G55:I55"/>
    <mergeCell ref="B56:D56"/>
    <mergeCell ref="G56:I56"/>
    <mergeCell ref="E53:E5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AEE65-C222-431B-BB11-573946A83361}">
  <dimension ref="B1:L62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23" sqref="K23"/>
    </sheetView>
  </sheetViews>
  <sheetFormatPr defaultRowHeight="15" x14ac:dyDescent="0.25"/>
  <cols>
    <col min="1" max="1" width="2.28515625" customWidth="1"/>
    <col min="2" max="2" width="31.42578125" customWidth="1"/>
    <col min="3" max="3" width="17.140625" customWidth="1"/>
    <col min="4" max="6" width="17.28515625" customWidth="1"/>
    <col min="7" max="7" width="17.140625" customWidth="1"/>
    <col min="8" max="8" width="17.28515625" customWidth="1"/>
    <col min="9" max="9" width="17.140625" customWidth="1"/>
    <col min="10" max="10" width="17.28515625" customWidth="1"/>
  </cols>
  <sheetData>
    <row r="1" spans="2:12" ht="15" customHeight="1" x14ac:dyDescent="0.25">
      <c r="B1" s="107" t="s">
        <v>20</v>
      </c>
      <c r="C1" s="107"/>
      <c r="D1" s="107"/>
      <c r="E1" s="107"/>
      <c r="F1" s="107"/>
      <c r="G1" s="107"/>
      <c r="H1" s="107"/>
    </row>
    <row r="2" spans="2:12" ht="15" customHeight="1" x14ac:dyDescent="0.25">
      <c r="B2" s="107"/>
      <c r="C2" s="107"/>
      <c r="D2" s="107"/>
      <c r="E2" s="107"/>
      <c r="F2" s="107"/>
      <c r="G2" s="107"/>
      <c r="H2" s="107"/>
    </row>
    <row r="3" spans="2:12" ht="15.75" x14ac:dyDescent="0.25">
      <c r="B3" s="108" t="s">
        <v>191</v>
      </c>
      <c r="C3" s="108"/>
      <c r="D3" s="108"/>
      <c r="E3" s="108"/>
      <c r="F3" s="108"/>
      <c r="G3" s="108"/>
      <c r="H3" s="108"/>
    </row>
    <row r="4" spans="2:12" x14ac:dyDescent="0.25">
      <c r="B4" s="109" t="s">
        <v>19</v>
      </c>
      <c r="C4" s="109"/>
      <c r="D4" s="109"/>
      <c r="E4" s="109"/>
      <c r="F4" s="109"/>
      <c r="G4" s="109"/>
      <c r="H4" s="109"/>
    </row>
    <row r="5" spans="2:12" x14ac:dyDescent="0.25">
      <c r="B5" s="3"/>
      <c r="C5" s="3"/>
      <c r="D5" s="3"/>
      <c r="E5" s="3"/>
      <c r="F5" s="3"/>
      <c r="G5" s="3"/>
      <c r="H5" s="3"/>
    </row>
    <row r="7" spans="2:12" x14ac:dyDescent="0.25">
      <c r="B7" s="23" t="s">
        <v>192</v>
      </c>
      <c r="C7" s="37">
        <f>C48</f>
        <v>1655.9699745258683</v>
      </c>
      <c r="D7" s="23"/>
      <c r="E7" s="23"/>
      <c r="F7" s="23"/>
      <c r="G7" s="23"/>
      <c r="H7" s="23"/>
    </row>
    <row r="8" spans="2:12" x14ac:dyDescent="0.25">
      <c r="B8" s="23" t="s">
        <v>193</v>
      </c>
      <c r="C8" s="37">
        <v>1067.7</v>
      </c>
      <c r="D8" s="23"/>
      <c r="E8" s="23"/>
      <c r="F8" s="23"/>
      <c r="G8" s="23"/>
      <c r="H8" s="23"/>
    </row>
    <row r="9" spans="2:12" x14ac:dyDescent="0.25">
      <c r="B9" s="23"/>
      <c r="C9" s="23"/>
      <c r="D9" s="23"/>
      <c r="E9" s="23"/>
      <c r="F9" s="23"/>
      <c r="G9" s="23"/>
      <c r="H9" s="23"/>
    </row>
    <row r="10" spans="2:12" x14ac:dyDescent="0.25">
      <c r="B10" s="56" t="s">
        <v>194</v>
      </c>
      <c r="C10" s="56"/>
      <c r="D10" s="56"/>
      <c r="E10" s="56"/>
      <c r="F10" s="56"/>
      <c r="G10" s="56"/>
      <c r="H10" s="56"/>
    </row>
    <row r="11" spans="2:12" x14ac:dyDescent="0.25">
      <c r="B11" s="23" t="s">
        <v>195</v>
      </c>
      <c r="C11" s="57">
        <f>C50</f>
        <v>6.8073165637437649E-2</v>
      </c>
      <c r="D11" s="23"/>
      <c r="E11" s="23"/>
      <c r="F11" s="23"/>
      <c r="G11" s="23"/>
      <c r="H11" s="23"/>
    </row>
    <row r="12" spans="2:12" x14ac:dyDescent="0.25">
      <c r="B12" s="23" t="s">
        <v>196</v>
      </c>
      <c r="C12" s="57">
        <v>0.04</v>
      </c>
      <c r="D12" s="26" t="s">
        <v>276</v>
      </c>
      <c r="E12" s="26"/>
      <c r="F12" s="26"/>
      <c r="G12" s="26"/>
      <c r="H12" s="26"/>
      <c r="I12" s="58"/>
      <c r="J12" s="58"/>
      <c r="K12" s="58"/>
      <c r="L12" s="58"/>
    </row>
    <row r="13" spans="2:12" x14ac:dyDescent="0.25">
      <c r="B13" s="23"/>
      <c r="C13" s="23"/>
      <c r="D13" s="23"/>
      <c r="E13" s="23"/>
      <c r="F13" s="23"/>
      <c r="G13" s="23"/>
      <c r="H13" s="23"/>
    </row>
    <row r="14" spans="2:12" x14ac:dyDescent="0.25">
      <c r="B14" s="23"/>
      <c r="C14" s="23"/>
      <c r="D14" s="23"/>
      <c r="E14" s="23"/>
      <c r="F14" s="23"/>
      <c r="G14" s="23"/>
      <c r="H14" s="23"/>
    </row>
    <row r="15" spans="2:12" x14ac:dyDescent="0.25">
      <c r="B15" s="56" t="s">
        <v>207</v>
      </c>
      <c r="C15" s="56">
        <v>2024</v>
      </c>
      <c r="D15" s="56">
        <v>2025</v>
      </c>
      <c r="E15" s="56">
        <v>2026</v>
      </c>
      <c r="F15" s="56">
        <v>2027</v>
      </c>
      <c r="G15" s="56">
        <v>2028</v>
      </c>
      <c r="H15" s="56">
        <v>2029</v>
      </c>
    </row>
    <row r="16" spans="2:12" x14ac:dyDescent="0.25">
      <c r="B16" s="23"/>
      <c r="C16" s="23"/>
      <c r="D16" s="23"/>
      <c r="E16" s="23"/>
      <c r="F16" s="23"/>
      <c r="G16" s="23"/>
      <c r="H16" s="23"/>
    </row>
    <row r="17" spans="2:8" x14ac:dyDescent="0.25">
      <c r="B17" s="23" t="s">
        <v>197</v>
      </c>
      <c r="C17" s="37">
        <f>'SBI IS Forecasting'!C$11</f>
        <v>334838.85639999999</v>
      </c>
      <c r="D17" s="37">
        <f>'SBI IS Forecasting'!D$11</f>
        <v>362399.98210000002</v>
      </c>
      <c r="E17" s="37">
        <f>'SBI IS Forecasting'!E$11</f>
        <v>397638.72010000004</v>
      </c>
      <c r="F17" s="101">
        <f>'SBI IS Forecasting'!F$11</f>
        <v>433515.71510370547</v>
      </c>
      <c r="G17" s="101">
        <f>'SBI IS Forecasting'!G$11</f>
        <v>472888.93365356908</v>
      </c>
      <c r="H17" s="101">
        <f>'SBI IS Forecasting'!H$11</f>
        <v>516130.55489546619</v>
      </c>
    </row>
    <row r="18" spans="2:8" x14ac:dyDescent="0.25">
      <c r="B18" s="23" t="s">
        <v>198</v>
      </c>
      <c r="C18" s="37"/>
      <c r="D18" s="57">
        <f>(D17-C17)/C17</f>
        <v>8.2311611012896871E-2</v>
      </c>
      <c r="E18" s="57">
        <f>(E17-D17)/D17</f>
        <v>9.723714056441729E-2</v>
      </c>
      <c r="F18" s="102">
        <f>(F17-E17)/E17</f>
        <v>9.0225104322544145E-2</v>
      </c>
      <c r="G18" s="102">
        <f t="shared" ref="G18:H18" si="0">(G17-F17)/F17</f>
        <v>9.0823047880616653E-2</v>
      </c>
      <c r="H18" s="102">
        <f t="shared" si="0"/>
        <v>9.1441389646845145E-2</v>
      </c>
    </row>
    <row r="19" spans="2:8" x14ac:dyDescent="0.25">
      <c r="B19" s="23"/>
      <c r="C19" s="37"/>
      <c r="D19" s="37"/>
      <c r="E19" s="37"/>
    </row>
    <row r="20" spans="2:8" x14ac:dyDescent="0.25">
      <c r="B20" s="23" t="s">
        <v>199</v>
      </c>
      <c r="C20" s="37">
        <f>'SBI IS Forecasting'!C14</f>
        <v>98945.017599999992</v>
      </c>
      <c r="D20" s="37">
        <f>'SBI IS Forecasting'!D14</f>
        <v>125826.46350000001</v>
      </c>
      <c r="E20" s="37">
        <f>'SBI IS Forecasting'!E14</f>
        <v>134988.27170000004</v>
      </c>
      <c r="F20" s="101">
        <f>'SBI IS Forecasting'!F14</f>
        <v>156011.21643985715</v>
      </c>
      <c r="G20" s="101">
        <f>'SBI IS Forecasting'!G14</f>
        <v>179690.32216140686</v>
      </c>
      <c r="H20" s="101">
        <f>'SBI IS Forecasting'!H14</f>
        <v>206350.25873866386</v>
      </c>
    </row>
    <row r="21" spans="2:8" x14ac:dyDescent="0.25">
      <c r="B21" s="23" t="s">
        <v>200</v>
      </c>
      <c r="C21" s="57">
        <f t="shared" ref="C21:F21" si="1">C20/C17</f>
        <v>0.29550040477321377</v>
      </c>
      <c r="D21" s="57">
        <f t="shared" si="1"/>
        <v>0.34720328287786634</v>
      </c>
      <c r="E21" s="57">
        <f t="shared" si="1"/>
        <v>0.33947466601354254</v>
      </c>
      <c r="F21" s="102">
        <f t="shared" si="1"/>
        <v>0.35987441978322793</v>
      </c>
      <c r="G21" s="102">
        <f t="shared" ref="G21" si="2">G20/G17</f>
        <v>0.37998419792383031</v>
      </c>
      <c r="H21" s="102">
        <f t="shared" ref="H21" si="3">H20/H17</f>
        <v>0.39980244684497845</v>
      </c>
    </row>
    <row r="22" spans="2:8" x14ac:dyDescent="0.25">
      <c r="B22" s="23"/>
      <c r="C22" s="37"/>
      <c r="D22" s="37"/>
      <c r="E22" s="37"/>
    </row>
    <row r="23" spans="2:8" x14ac:dyDescent="0.25">
      <c r="B23" s="23" t="s">
        <v>201</v>
      </c>
      <c r="C23" s="37">
        <f>'SBI IS Forecasting'!C18</f>
        <v>23101.78</v>
      </c>
      <c r="D23" s="37">
        <f>'SBI IS Forecasting'!D18</f>
        <v>27348.14</v>
      </c>
      <c r="E23" s="37">
        <f>'SBI IS Forecasting'!E18</f>
        <v>28859.51</v>
      </c>
      <c r="F23" s="101">
        <f>'SBI IS Forecasting'!F18</f>
        <v>34456.402400593848</v>
      </c>
      <c r="G23" s="101">
        <f>'SBI IS Forecasting'!G18</f>
        <v>39710.252603075132</v>
      </c>
      <c r="H23" s="101">
        <f>'SBI IS Forecasting'!H18</f>
        <v>45609.0475176236</v>
      </c>
    </row>
    <row r="24" spans="2:8" x14ac:dyDescent="0.25">
      <c r="B24" s="23" t="s">
        <v>202</v>
      </c>
      <c r="C24" s="57">
        <f t="shared" ref="C24:F24" si="4">C23/C20</f>
        <v>0.23348098328096109</v>
      </c>
      <c r="D24" s="57">
        <f t="shared" si="4"/>
        <v>0.21734807797407416</v>
      </c>
      <c r="E24" s="57">
        <f t="shared" si="4"/>
        <v>0.21379272166798169</v>
      </c>
      <c r="F24" s="102">
        <f t="shared" si="4"/>
        <v>0.22085849458059259</v>
      </c>
      <c r="G24" s="102">
        <f t="shared" ref="G24" si="5">G23/G20</f>
        <v>0.22099271750097588</v>
      </c>
      <c r="H24" s="102">
        <f t="shared" ref="H24" si="6">H23/H20</f>
        <v>0.22102733379843265</v>
      </c>
    </row>
    <row r="25" spans="2:8" x14ac:dyDescent="0.25">
      <c r="B25" s="23"/>
      <c r="C25" s="23"/>
      <c r="D25" s="23"/>
      <c r="E25" s="23"/>
    </row>
    <row r="26" spans="2:8" x14ac:dyDescent="0.25">
      <c r="B26" s="59" t="s">
        <v>208</v>
      </c>
      <c r="C26" s="66">
        <f t="shared" ref="C26:E26" si="7">C20-C23</f>
        <v>75843.237599999993</v>
      </c>
      <c r="D26" s="60">
        <f t="shared" si="7"/>
        <v>98478.323500000013</v>
      </c>
      <c r="E26" s="60">
        <f t="shared" si="7"/>
        <v>106128.76170000005</v>
      </c>
      <c r="F26" s="100">
        <f>F20-F23</f>
        <v>121554.81403926329</v>
      </c>
      <c r="G26" s="100">
        <f t="shared" ref="G26:H26" si="8">G20-G23</f>
        <v>139980.06955833174</v>
      </c>
      <c r="H26" s="100">
        <f t="shared" si="8"/>
        <v>160741.21122104026</v>
      </c>
    </row>
    <row r="27" spans="2:8" x14ac:dyDescent="0.25">
      <c r="B27" s="23"/>
      <c r="C27" s="23"/>
      <c r="D27" s="23"/>
      <c r="E27" s="23"/>
    </row>
    <row r="28" spans="2:8" x14ac:dyDescent="0.25">
      <c r="B28" s="23" t="s">
        <v>203</v>
      </c>
      <c r="C28" s="37">
        <f>'SBI CF Forecasting'!C9</f>
        <v>3849.1244999999999</v>
      </c>
      <c r="D28" s="37">
        <f>'SBI CF Forecasting'!D9</f>
        <v>3991.4767000000002</v>
      </c>
      <c r="E28" s="37">
        <f>'SBI CF Forecasting'!E9</f>
        <v>4829.7184999999999</v>
      </c>
      <c r="F28" s="101">
        <f>'SBI CF Forecasting'!F9</f>
        <v>5426.1668744869612</v>
      </c>
      <c r="G28" s="101">
        <f>'SBI CF Forecasting'!G9</f>
        <v>6096.2739235795207</v>
      </c>
      <c r="H28" s="101">
        <f>'SBI CF Forecasting'!H9</f>
        <v>6849.1361601977114</v>
      </c>
    </row>
    <row r="29" spans="2:8" x14ac:dyDescent="0.25">
      <c r="B29" s="23" t="s">
        <v>200</v>
      </c>
      <c r="C29" s="57">
        <f t="shared" ref="C29:F29" si="9">C28/C17</f>
        <v>1.1495453488832307E-2</v>
      </c>
      <c r="D29" s="57">
        <f t="shared" si="9"/>
        <v>1.1014009098098132E-2</v>
      </c>
      <c r="E29" s="57">
        <f t="shared" si="9"/>
        <v>1.2145996493463715E-2</v>
      </c>
      <c r="F29" s="102">
        <f t="shared" si="9"/>
        <v>1.2516655533903576E-2</v>
      </c>
      <c r="G29" s="102">
        <f t="shared" ref="G29" si="10">G28/G17</f>
        <v>1.2891555478956405E-2</v>
      </c>
      <c r="H29" s="102">
        <f t="shared" ref="H29" si="11">H28/H17</f>
        <v>1.3270162161945424E-2</v>
      </c>
    </row>
    <row r="30" spans="2:8" x14ac:dyDescent="0.25">
      <c r="B30" s="23"/>
      <c r="C30" s="23"/>
      <c r="D30" s="23"/>
      <c r="E30" s="23"/>
    </row>
    <row r="31" spans="2:8" x14ac:dyDescent="0.25">
      <c r="B31" s="23" t="s">
        <v>204</v>
      </c>
      <c r="C31" s="37">
        <f>'SBI CF Forecasting'!C19</f>
        <v>-4175.1261999999997</v>
      </c>
      <c r="D31" s="37">
        <f>'SBI CF Forecasting'!D19</f>
        <v>-5637.2241000000004</v>
      </c>
      <c r="E31" s="37">
        <f>'SBI CF Forecasting'!E19</f>
        <v>-8362.9581999999991</v>
      </c>
      <c r="F31" s="101">
        <f>'SBI CF Forecasting'!F19</f>
        <v>-8760.4980959475724</v>
      </c>
      <c r="G31" s="101">
        <f>'SBI CF Forecasting'!G19</f>
        <v>-9271.5974545439331</v>
      </c>
      <c r="H31" s="101">
        <f>'SBI CF Forecasting'!H19</f>
        <v>-9758.3234911075488</v>
      </c>
    </row>
    <row r="32" spans="2:8" x14ac:dyDescent="0.25">
      <c r="B32" s="23" t="s">
        <v>200</v>
      </c>
      <c r="C32" s="57">
        <f t="shared" ref="C32:F32" si="12">C31/C17</f>
        <v>-1.2469061222131208E-2</v>
      </c>
      <c r="D32" s="57">
        <f t="shared" si="12"/>
        <v>-1.5555254907392558E-2</v>
      </c>
      <c r="E32" s="57">
        <f t="shared" si="12"/>
        <v>-2.1031548934411729E-2</v>
      </c>
      <c r="F32" s="102">
        <f t="shared" si="12"/>
        <v>-2.0208028891990429E-2</v>
      </c>
      <c r="G32" s="102">
        <f t="shared" ref="G32" si="13">G31/G17</f>
        <v>-1.9606289753729272E-2</v>
      </c>
      <c r="H32" s="102">
        <f t="shared" ref="H32" si="14">H31/H17</f>
        <v>-1.8906695987188624E-2</v>
      </c>
    </row>
    <row r="33" spans="2:8" x14ac:dyDescent="0.25">
      <c r="B33" s="23"/>
      <c r="C33" s="23"/>
      <c r="D33" s="23"/>
      <c r="E33" s="23"/>
    </row>
    <row r="34" spans="2:8" x14ac:dyDescent="0.25">
      <c r="B34" s="23" t="s">
        <v>205</v>
      </c>
      <c r="C34" s="37">
        <f>'SBI CF Forecasting'!C12</f>
        <v>-52223.063800000004</v>
      </c>
      <c r="D34" s="37">
        <f>'SBI CF Forecasting'!D12</f>
        <v>-50015.650300000001</v>
      </c>
      <c r="E34" s="37">
        <f>'SBI CF Forecasting'!E12</f>
        <v>-71461.346799999999</v>
      </c>
      <c r="F34" s="101">
        <f>'SBI CF Forecasting'!F12</f>
        <v>-75992.854064051979</v>
      </c>
      <c r="G34" s="101">
        <f>'SBI CF Forecasting'!G12</f>
        <v>-87177.369154870306</v>
      </c>
      <c r="H34" s="101">
        <f>'SBI CF Forecasting'!H12</f>
        <v>-100008.00452051481</v>
      </c>
    </row>
    <row r="35" spans="2:8" x14ac:dyDescent="0.25">
      <c r="B35" s="23" t="s">
        <v>206</v>
      </c>
      <c r="C35" s="57">
        <f t="shared" ref="C35:F35" si="15">C34/C17</f>
        <v>-0.15596476574276105</v>
      </c>
      <c r="D35" s="57">
        <f t="shared" si="15"/>
        <v>-0.13801228689409473</v>
      </c>
      <c r="E35" s="57">
        <f t="shared" si="15"/>
        <v>-0.17971425615198783</v>
      </c>
      <c r="F35" s="102">
        <f t="shared" si="15"/>
        <v>-0.17529434670176372</v>
      </c>
      <c r="G35" s="102">
        <f t="shared" ref="G35" si="16">G34/G17</f>
        <v>-0.18435062220917833</v>
      </c>
      <c r="H35" s="102">
        <f t="shared" ref="H35" si="17">H34/H17</f>
        <v>-0.1937649371306254</v>
      </c>
    </row>
    <row r="36" spans="2:8" x14ac:dyDescent="0.25">
      <c r="B36" s="23"/>
      <c r="C36" s="23"/>
      <c r="D36" s="23"/>
      <c r="E36" s="23"/>
    </row>
    <row r="37" spans="2:8" x14ac:dyDescent="0.25">
      <c r="B37" s="59" t="s">
        <v>209</v>
      </c>
      <c r="C37" s="67">
        <f t="shared" ref="C37:E37" si="18">C26+C28+C31+C34</f>
        <v>23294.172099999996</v>
      </c>
      <c r="D37" s="67">
        <f t="shared" si="18"/>
        <v>46816.925800000005</v>
      </c>
      <c r="E37" s="61">
        <f t="shared" si="18"/>
        <v>31134.175200000056</v>
      </c>
      <c r="F37" s="100">
        <f>F26+F28+F31+F34</f>
        <v>42227.628753750716</v>
      </c>
      <c r="G37" s="100">
        <f>G26+G28+G31+G34</f>
        <v>49627.376872497029</v>
      </c>
      <c r="H37" s="100">
        <f>H26+H28+H31+H34</f>
        <v>57824.019369615591</v>
      </c>
    </row>
    <row r="38" spans="2:8" x14ac:dyDescent="0.25">
      <c r="B38" s="59" t="s">
        <v>220</v>
      </c>
      <c r="C38" s="66">
        <f t="shared" ref="C38:E38" si="19">C37/(1+$C$50)^1</f>
        <v>21809.528456880369</v>
      </c>
      <c r="D38" s="66">
        <f t="shared" si="19"/>
        <v>43833.069967691918</v>
      </c>
      <c r="E38" s="66">
        <f t="shared" si="19"/>
        <v>29149.852464853233</v>
      </c>
      <c r="F38" s="100">
        <f>F37/(1+$C$50)^1</f>
        <v>39536.269716643255</v>
      </c>
      <c r="G38" s="100">
        <f>G37/(1+$C$50)^2</f>
        <v>43503.010554532622</v>
      </c>
      <c r="H38" s="100">
        <f>H37/(1+$C$50)^3</f>
        <v>47457.544594628562</v>
      </c>
    </row>
    <row r="39" spans="2:8" x14ac:dyDescent="0.25">
      <c r="B39" s="23"/>
      <c r="C39" s="23"/>
      <c r="D39" s="23"/>
      <c r="E39" s="23"/>
      <c r="F39" s="23"/>
      <c r="G39" s="23"/>
      <c r="H39" s="23"/>
    </row>
    <row r="40" spans="2:8" x14ac:dyDescent="0.25">
      <c r="B40" s="23"/>
      <c r="C40" s="23"/>
      <c r="D40" s="23"/>
      <c r="E40" s="23"/>
      <c r="F40" s="23"/>
      <c r="G40" s="23"/>
      <c r="H40" s="23"/>
    </row>
    <row r="41" spans="2:8" x14ac:dyDescent="0.25">
      <c r="B41" s="56" t="s">
        <v>221</v>
      </c>
      <c r="C41" s="61">
        <f>H37*(1+$C$12)/($C$50-$C$12)</f>
        <v>2142151.7231460027</v>
      </c>
      <c r="D41" s="23"/>
      <c r="E41" s="23"/>
      <c r="F41" s="23"/>
      <c r="G41" s="23"/>
      <c r="H41" s="23"/>
    </row>
    <row r="42" spans="2:8" x14ac:dyDescent="0.25">
      <c r="B42" s="56" t="s">
        <v>222</v>
      </c>
      <c r="C42" s="61">
        <f>C41/(1+$C$50)^3</f>
        <v>1758114.7425922649</v>
      </c>
      <c r="D42" s="23"/>
      <c r="E42" s="23"/>
      <c r="F42" s="23"/>
      <c r="G42" s="23"/>
      <c r="H42" s="23"/>
    </row>
    <row r="43" spans="2:8" x14ac:dyDescent="0.25">
      <c r="B43" s="56" t="s">
        <v>223</v>
      </c>
      <c r="C43" s="61">
        <f>SUM(F38:H38)+C42</f>
        <v>1888611.5674580694</v>
      </c>
      <c r="D43" s="26" t="s">
        <v>277</v>
      </c>
      <c r="E43" s="26"/>
      <c r="F43" s="26"/>
      <c r="G43" s="26"/>
      <c r="H43" s="26"/>
    </row>
    <row r="44" spans="2:8" x14ac:dyDescent="0.25">
      <c r="B44" s="56" t="s">
        <v>224</v>
      </c>
      <c r="C44" s="37">
        <f>'SBI BS Forecasting'!E18+'SBI BS Forecasting'!E19</f>
        <v>401843.20940000005</v>
      </c>
      <c r="D44" s="23"/>
      <c r="E44" s="23"/>
      <c r="F44" s="23"/>
      <c r="G44" s="23"/>
      <c r="H44" s="23"/>
    </row>
    <row r="45" spans="2:8" x14ac:dyDescent="0.25">
      <c r="B45" s="56" t="s">
        <v>210</v>
      </c>
      <c r="C45" s="37">
        <f>C52</f>
        <v>777302.14500000002</v>
      </c>
      <c r="D45" s="23"/>
      <c r="E45" s="23"/>
      <c r="F45" s="23"/>
      <c r="G45" s="23"/>
      <c r="H45" s="23"/>
    </row>
    <row r="46" spans="2:8" x14ac:dyDescent="0.25">
      <c r="B46" s="56" t="s">
        <v>214</v>
      </c>
      <c r="C46" s="37">
        <f>C43-C45+C44</f>
        <v>1513152.6318580694</v>
      </c>
      <c r="D46" s="23"/>
      <c r="E46" s="23"/>
      <c r="F46" s="23"/>
      <c r="G46" s="23"/>
      <c r="H46" s="23"/>
    </row>
    <row r="47" spans="2:8" x14ac:dyDescent="0.25">
      <c r="B47" s="56" t="s">
        <v>225</v>
      </c>
      <c r="C47" s="31">
        <f>'SBI IS Forecasting'!E27</f>
        <v>913.75607960000002</v>
      </c>
      <c r="D47" s="23"/>
      <c r="E47" s="23"/>
      <c r="F47" s="23"/>
      <c r="G47" s="23"/>
      <c r="H47" s="23"/>
    </row>
    <row r="48" spans="2:8" x14ac:dyDescent="0.25">
      <c r="B48" s="56" t="s">
        <v>226</v>
      </c>
      <c r="C48" s="37">
        <f>C46/C47</f>
        <v>1655.9699745258683</v>
      </c>
      <c r="D48" s="23"/>
      <c r="E48" s="23"/>
      <c r="F48" s="23"/>
      <c r="G48" s="23"/>
      <c r="H48" s="23"/>
    </row>
    <row r="49" spans="2:8" x14ac:dyDescent="0.25">
      <c r="B49" s="23"/>
      <c r="C49" s="23"/>
      <c r="D49" s="23"/>
      <c r="E49" s="23"/>
      <c r="F49" s="23"/>
      <c r="G49" s="23"/>
      <c r="H49" s="23"/>
    </row>
    <row r="50" spans="2:8" x14ac:dyDescent="0.25">
      <c r="B50" s="56" t="s">
        <v>195</v>
      </c>
      <c r="C50" s="62">
        <f>C53*C54*(1-C55)+C58*C59</f>
        <v>6.8073165637437649E-2</v>
      </c>
      <c r="D50" s="56" t="s">
        <v>275</v>
      </c>
      <c r="E50" s="23"/>
      <c r="F50" s="23"/>
      <c r="G50" s="23"/>
      <c r="H50" s="23"/>
    </row>
    <row r="51" spans="2:8" x14ac:dyDescent="0.25">
      <c r="B51" s="23"/>
      <c r="C51" s="23"/>
      <c r="D51" s="23"/>
      <c r="E51" s="23"/>
      <c r="F51" s="23"/>
      <c r="G51" s="23"/>
      <c r="H51" s="23"/>
    </row>
    <row r="52" spans="2:8" x14ac:dyDescent="0.25">
      <c r="B52" s="23" t="s">
        <v>210</v>
      </c>
      <c r="C52" s="37">
        <f>'SBI BS Forecasting'!E13</f>
        <v>777302.14500000002</v>
      </c>
      <c r="D52" s="26" t="s">
        <v>278</v>
      </c>
      <c r="E52" s="26"/>
      <c r="F52" s="26"/>
      <c r="G52" s="26"/>
      <c r="H52" s="23"/>
    </row>
    <row r="53" spans="2:8" x14ac:dyDescent="0.25">
      <c r="B53" s="23" t="s">
        <v>211</v>
      </c>
      <c r="C53" s="57">
        <f>C52/(C52+C57)</f>
        <v>0.44132243136511934</v>
      </c>
      <c r="D53" s="26" t="s">
        <v>279</v>
      </c>
      <c r="E53" s="26"/>
      <c r="F53" s="26"/>
      <c r="G53" s="26"/>
      <c r="H53" s="23"/>
    </row>
    <row r="54" spans="2:8" x14ac:dyDescent="0.25">
      <c r="B54" s="23" t="s">
        <v>212</v>
      </c>
      <c r="C54" s="57">
        <f>'SBI IS Forecasting'!E8/('SBI BS Forecasting'!E12+'SBI BS Forecasting'!E13)</f>
        <v>4.6185684449175729E-2</v>
      </c>
      <c r="D54" s="26" t="s">
        <v>280</v>
      </c>
      <c r="E54" s="26"/>
      <c r="F54" s="26"/>
      <c r="G54" s="26"/>
      <c r="H54" s="23"/>
    </row>
    <row r="55" spans="2:8" x14ac:dyDescent="0.25">
      <c r="B55" s="23" t="s">
        <v>213</v>
      </c>
      <c r="C55" s="57">
        <f>'SBI IS Forecasting'!C36</f>
        <v>0.25446818952724209</v>
      </c>
      <c r="D55" s="26"/>
      <c r="E55" s="26"/>
      <c r="F55" s="26"/>
      <c r="G55" s="26"/>
      <c r="H55" s="23"/>
    </row>
    <row r="56" spans="2:8" x14ac:dyDescent="0.25">
      <c r="B56" s="23"/>
      <c r="C56" s="23"/>
      <c r="D56" s="26"/>
      <c r="E56" s="26"/>
      <c r="F56" s="26"/>
      <c r="G56" s="26"/>
      <c r="H56" s="23"/>
    </row>
    <row r="57" spans="2:8" x14ac:dyDescent="0.25">
      <c r="B57" s="23" t="s">
        <v>214</v>
      </c>
      <c r="C57" s="64">
        <v>984000</v>
      </c>
      <c r="D57" s="26" t="s">
        <v>281</v>
      </c>
      <c r="E57" s="26"/>
      <c r="F57" s="26"/>
      <c r="G57" s="26"/>
      <c r="H57" s="23"/>
    </row>
    <row r="58" spans="2:8" x14ac:dyDescent="0.25">
      <c r="B58" s="23" t="s">
        <v>215</v>
      </c>
      <c r="C58" s="57">
        <f>C57/(C52+C57)</f>
        <v>0.55867756863488061</v>
      </c>
      <c r="D58" s="26" t="s">
        <v>282</v>
      </c>
      <c r="E58" s="26"/>
      <c r="F58" s="26"/>
      <c r="G58" s="26"/>
      <c r="H58" s="23"/>
    </row>
    <row r="59" spans="2:8" x14ac:dyDescent="0.25">
      <c r="B59" s="23" t="s">
        <v>216</v>
      </c>
      <c r="C59" s="57">
        <f>C60+C61*C62</f>
        <v>9.4646999999999995E-2</v>
      </c>
      <c r="D59" s="26" t="s">
        <v>283</v>
      </c>
      <c r="E59" s="26"/>
      <c r="F59" s="26"/>
      <c r="G59" s="26"/>
      <c r="H59" s="23"/>
    </row>
    <row r="60" spans="2:8" x14ac:dyDescent="0.25">
      <c r="B60" s="23" t="s">
        <v>217</v>
      </c>
      <c r="C60" s="57">
        <v>6.7599999999999993E-2</v>
      </c>
      <c r="D60" s="26" t="s">
        <v>284</v>
      </c>
      <c r="E60" s="26"/>
      <c r="F60" s="26"/>
      <c r="G60" s="26"/>
      <c r="H60" s="23"/>
    </row>
    <row r="61" spans="2:8" x14ac:dyDescent="0.25">
      <c r="B61" s="23" t="s">
        <v>218</v>
      </c>
      <c r="C61" s="65">
        <v>0.37</v>
      </c>
      <c r="D61" s="26" t="s">
        <v>285</v>
      </c>
      <c r="E61" s="26"/>
      <c r="F61" s="26"/>
      <c r="G61" s="26"/>
      <c r="H61" s="23"/>
    </row>
    <row r="62" spans="2:8" x14ac:dyDescent="0.25">
      <c r="B62" s="23" t="s">
        <v>219</v>
      </c>
      <c r="C62" s="57">
        <v>7.3099999999999998E-2</v>
      </c>
      <c r="D62" s="26" t="s">
        <v>286</v>
      </c>
      <c r="E62" s="26"/>
      <c r="F62" s="26"/>
      <c r="G62" s="26"/>
      <c r="H62" s="23"/>
    </row>
  </sheetData>
  <mergeCells count="3">
    <mergeCell ref="B1:H2"/>
    <mergeCell ref="B3:H3"/>
    <mergeCell ref="B4:H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5B43-3305-4710-9D95-04049EAC1D3C}">
  <dimension ref="B1:L61"/>
  <sheetViews>
    <sheetView topLeftCell="A10" workbookViewId="0">
      <selection activeCell="F17" sqref="F17:H38"/>
    </sheetView>
  </sheetViews>
  <sheetFormatPr defaultRowHeight="15" x14ac:dyDescent="0.25"/>
  <cols>
    <col min="1" max="1" width="2" customWidth="1"/>
    <col min="2" max="2" width="30.5703125" bestFit="1" customWidth="1"/>
    <col min="3" max="4" width="17.28515625" customWidth="1"/>
    <col min="5" max="5" width="17.140625" customWidth="1"/>
    <col min="6" max="6" width="17" customWidth="1"/>
    <col min="7" max="7" width="17.140625" customWidth="1"/>
    <col min="8" max="8" width="17.5703125" customWidth="1"/>
    <col min="9" max="10" width="17.140625" customWidth="1"/>
  </cols>
  <sheetData>
    <row r="1" spans="2:12" x14ac:dyDescent="0.25">
      <c r="B1" s="107" t="s">
        <v>21</v>
      </c>
      <c r="C1" s="107"/>
      <c r="D1" s="107"/>
      <c r="E1" s="107"/>
      <c r="F1" s="107"/>
      <c r="G1" s="107"/>
      <c r="H1" s="107"/>
      <c r="I1" s="107"/>
      <c r="J1" s="107"/>
    </row>
    <row r="2" spans="2:12" x14ac:dyDescent="0.25">
      <c r="B2" s="107"/>
      <c r="C2" s="107"/>
      <c r="D2" s="107"/>
      <c r="E2" s="107"/>
      <c r="F2" s="107"/>
      <c r="G2" s="107"/>
      <c r="H2" s="107"/>
      <c r="I2" s="107"/>
      <c r="J2" s="107"/>
    </row>
    <row r="3" spans="2:12" ht="15.75" x14ac:dyDescent="0.25">
      <c r="B3" s="108" t="s">
        <v>191</v>
      </c>
      <c r="C3" s="108"/>
      <c r="D3" s="108"/>
      <c r="E3" s="108"/>
      <c r="F3" s="108"/>
      <c r="G3" s="108"/>
      <c r="H3" s="108"/>
      <c r="I3" s="108"/>
      <c r="J3" s="108"/>
    </row>
    <row r="4" spans="2:12" x14ac:dyDescent="0.25">
      <c r="B4" s="109" t="s">
        <v>19</v>
      </c>
      <c r="C4" s="109"/>
      <c r="D4" s="109"/>
      <c r="E4" s="109"/>
      <c r="F4" s="109"/>
      <c r="G4" s="109"/>
      <c r="H4" s="109"/>
      <c r="I4" s="109"/>
      <c r="J4" s="109"/>
    </row>
    <row r="5" spans="2:12" x14ac:dyDescent="0.25">
      <c r="B5" s="3"/>
      <c r="C5" s="3"/>
      <c r="D5" s="3"/>
      <c r="E5" s="3"/>
      <c r="F5" s="3"/>
      <c r="G5" s="3"/>
      <c r="H5" s="3"/>
      <c r="I5" s="3"/>
      <c r="J5" s="3"/>
    </row>
    <row r="7" spans="2:12" x14ac:dyDescent="0.25">
      <c r="B7" s="23" t="s">
        <v>192</v>
      </c>
      <c r="C7" s="37">
        <f>C47</f>
        <v>2112.185336028936</v>
      </c>
      <c r="D7" s="23"/>
      <c r="E7" s="23"/>
      <c r="F7" s="23"/>
      <c r="G7" s="23"/>
      <c r="H7" s="23"/>
      <c r="I7" s="23"/>
    </row>
    <row r="8" spans="2:12" x14ac:dyDescent="0.25">
      <c r="B8" s="23" t="s">
        <v>193</v>
      </c>
      <c r="C8" s="37">
        <v>727</v>
      </c>
      <c r="D8" s="23"/>
      <c r="E8" s="23"/>
      <c r="F8" s="23"/>
      <c r="G8" s="23"/>
      <c r="H8" s="23"/>
      <c r="I8" s="23"/>
    </row>
    <row r="9" spans="2:12" x14ac:dyDescent="0.25">
      <c r="B9" s="23"/>
      <c r="C9" s="23"/>
      <c r="D9" s="23"/>
      <c r="E9" s="23"/>
      <c r="F9" s="23"/>
      <c r="G9" s="23"/>
      <c r="H9" s="23"/>
      <c r="I9" s="23"/>
    </row>
    <row r="10" spans="2:12" x14ac:dyDescent="0.25">
      <c r="B10" s="56" t="s">
        <v>194</v>
      </c>
      <c r="C10" s="56"/>
      <c r="D10" s="56"/>
      <c r="E10" s="56"/>
      <c r="F10" s="56"/>
      <c r="G10" s="56"/>
      <c r="H10" s="56"/>
      <c r="I10" s="56"/>
      <c r="J10" s="5"/>
    </row>
    <row r="11" spans="2:12" x14ac:dyDescent="0.25">
      <c r="B11" s="23" t="s">
        <v>195</v>
      </c>
      <c r="C11" s="57">
        <f>C49</f>
        <v>6.8793733032084664E-2</v>
      </c>
      <c r="D11" s="23"/>
      <c r="E11" s="23"/>
      <c r="F11" s="23"/>
      <c r="G11" s="23"/>
      <c r="H11" s="23"/>
      <c r="I11" s="23"/>
    </row>
    <row r="12" spans="2:12" x14ac:dyDescent="0.25">
      <c r="B12" s="23" t="s">
        <v>196</v>
      </c>
      <c r="C12" s="57">
        <v>0.04</v>
      </c>
      <c r="D12" s="26" t="s">
        <v>276</v>
      </c>
      <c r="E12" s="26"/>
      <c r="F12" s="26"/>
      <c r="G12" s="26"/>
      <c r="H12" s="26"/>
      <c r="I12" s="26"/>
      <c r="J12" s="58"/>
      <c r="K12" s="58"/>
      <c r="L12" s="58"/>
    </row>
    <row r="13" spans="2:12" x14ac:dyDescent="0.25">
      <c r="B13" s="23"/>
      <c r="C13" s="23"/>
      <c r="D13" s="23"/>
      <c r="E13" s="23"/>
      <c r="F13" s="23"/>
      <c r="G13" s="23"/>
      <c r="H13" s="23"/>
      <c r="I13" s="23"/>
    </row>
    <row r="14" spans="2:12" x14ac:dyDescent="0.25">
      <c r="B14" s="23"/>
      <c r="C14" s="23"/>
      <c r="D14" s="23"/>
      <c r="E14" s="23"/>
      <c r="F14" s="23"/>
      <c r="G14" s="23"/>
      <c r="H14" s="23"/>
      <c r="I14" s="23"/>
    </row>
    <row r="15" spans="2:12" x14ac:dyDescent="0.25">
      <c r="B15" s="56" t="s">
        <v>207</v>
      </c>
      <c r="C15" s="56">
        <v>2024</v>
      </c>
      <c r="D15" s="56">
        <v>2025</v>
      </c>
      <c r="E15" s="56">
        <v>2026</v>
      </c>
      <c r="F15" s="56">
        <v>2027</v>
      </c>
      <c r="G15" s="56">
        <v>2028</v>
      </c>
      <c r="H15" s="56">
        <v>2029</v>
      </c>
      <c r="I15" s="23"/>
    </row>
    <row r="16" spans="2:12" x14ac:dyDescent="0.25">
      <c r="B16" s="23"/>
      <c r="C16" s="23"/>
      <c r="D16" s="23"/>
      <c r="E16" s="23"/>
      <c r="F16" s="23"/>
      <c r="G16" s="23"/>
      <c r="H16" s="23"/>
      <c r="I16" s="23"/>
    </row>
    <row r="17" spans="2:9" x14ac:dyDescent="0.25">
      <c r="B17" s="23" t="s">
        <v>197</v>
      </c>
      <c r="C17" s="37">
        <f>'HDFC IS Forecasting'!C$11</f>
        <v>253856.22000000003</v>
      </c>
      <c r="D17" s="37">
        <f>'HDFC IS Forecasting'!D$11</f>
        <v>287021.73</v>
      </c>
      <c r="E17" s="37">
        <f>'HDFC IS Forecasting'!E$11</f>
        <v>309971.58</v>
      </c>
      <c r="F17" s="101">
        <f>'HDFC IS Forecasting'!F$11</f>
        <v>342741.59745895647</v>
      </c>
      <c r="G17" s="101">
        <f>'HDFC IS Forecasting'!G$11</f>
        <v>379034.84145663038</v>
      </c>
      <c r="H17" s="101">
        <f>'HDFC IS Forecasting'!H$11</f>
        <v>419235.28910122917</v>
      </c>
      <c r="I17" s="23"/>
    </row>
    <row r="18" spans="2:9" x14ac:dyDescent="0.25">
      <c r="B18" s="23" t="s">
        <v>198</v>
      </c>
      <c r="C18" s="37"/>
      <c r="D18" s="57">
        <f>(D17-C17)/C17</f>
        <v>0.13064682835031557</v>
      </c>
      <c r="E18" s="57">
        <f>(E17-D17)/D17</f>
        <v>7.9958580139559601E-2</v>
      </c>
      <c r="F18" s="102">
        <f>(F17-E17)/E17</f>
        <v>0.10571942582270431</v>
      </c>
      <c r="G18" s="102">
        <f t="shared" ref="G18:H18" si="0">(G17-F17)/F17</f>
        <v>0.10589098103862357</v>
      </c>
      <c r="H18" s="102">
        <f t="shared" si="0"/>
        <v>0.10606003260837056</v>
      </c>
      <c r="I18" s="23"/>
    </row>
    <row r="19" spans="2:9" x14ac:dyDescent="0.25">
      <c r="B19" s="23"/>
      <c r="C19" s="37"/>
      <c r="D19" s="37"/>
      <c r="E19" s="37"/>
      <c r="I19" s="23"/>
    </row>
    <row r="20" spans="2:9" x14ac:dyDescent="0.25">
      <c r="B20" s="23" t="s">
        <v>199</v>
      </c>
      <c r="C20" s="37">
        <f>'HDFC IS Forecasting'!C14</f>
        <v>101586.88000000003</v>
      </c>
      <c r="D20" s="37">
        <f>'HDFC IS Forecasting'!D14</f>
        <v>110416.65999999997</v>
      </c>
      <c r="E20" s="37">
        <f>'HDFC IS Forecasting'!E14</f>
        <v>128797.67000000001</v>
      </c>
      <c r="F20" s="101">
        <f>'HDFC IS Forecasting'!F14</f>
        <v>144746.53527641701</v>
      </c>
      <c r="G20" s="101">
        <f>'HDFC IS Forecasting'!G14</f>
        <v>162656.8615992234</v>
      </c>
      <c r="H20" s="101">
        <f>'HDFC IS Forecasting'!H14</f>
        <v>182767.62343789186</v>
      </c>
      <c r="I20" s="23"/>
    </row>
    <row r="21" spans="2:9" x14ac:dyDescent="0.25">
      <c r="B21" s="23" t="s">
        <v>200</v>
      </c>
      <c r="C21" s="57">
        <f t="shared" ref="C21:F21" si="1">C20/C17</f>
        <v>0.40017487064134188</v>
      </c>
      <c r="D21" s="57">
        <f t="shared" si="1"/>
        <v>0.38469791119996377</v>
      </c>
      <c r="E21" s="57">
        <f t="shared" si="1"/>
        <v>0.41551444813101901</v>
      </c>
      <c r="F21" s="102">
        <f t="shared" si="1"/>
        <v>0.42231971943163538</v>
      </c>
      <c r="G21" s="102">
        <f t="shared" ref="G21" si="2">G20/G17</f>
        <v>0.42913432700311482</v>
      </c>
      <c r="H21" s="102">
        <f t="shared" ref="H21" si="3">H20/H17</f>
        <v>0.43595476857331189</v>
      </c>
      <c r="I21" s="23"/>
    </row>
    <row r="22" spans="2:9" x14ac:dyDescent="0.25">
      <c r="B22" s="23"/>
      <c r="C22" s="37"/>
      <c r="D22" s="37"/>
      <c r="E22" s="37"/>
      <c r="I22" s="23"/>
    </row>
    <row r="23" spans="2:9" x14ac:dyDescent="0.25">
      <c r="B23" s="23" t="s">
        <v>201</v>
      </c>
      <c r="C23" s="37">
        <f>'HDFC IS Forecasting'!C18</f>
        <v>10083.02</v>
      </c>
      <c r="D23" s="37">
        <f>'HDFC IS Forecasting'!D18</f>
        <v>21130.7</v>
      </c>
      <c r="E23" s="37">
        <f>'HDFC IS Forecasting'!E18</f>
        <v>20497.400000000001</v>
      </c>
      <c r="F23" s="101">
        <f>'HDFC IS Forecasting'!F18</f>
        <v>21846.504147718602</v>
      </c>
      <c r="G23" s="101">
        <f>'HDFC IS Forecasting'!G18</f>
        <v>24730.709548516708</v>
      </c>
      <c r="H23" s="101">
        <f>'HDFC IS Forecasting'!H18</f>
        <v>27985.055630686526</v>
      </c>
      <c r="I23" s="23"/>
    </row>
    <row r="24" spans="2:9" x14ac:dyDescent="0.25">
      <c r="B24" s="23" t="s">
        <v>202</v>
      </c>
      <c r="C24" s="57">
        <f t="shared" ref="C24:F24" si="4">C23/C20</f>
        <v>9.925514003383111E-2</v>
      </c>
      <c r="D24" s="57">
        <f t="shared" si="4"/>
        <v>0.19137238891304995</v>
      </c>
      <c r="E24" s="57">
        <f t="shared" si="4"/>
        <v>0.15914418327598628</v>
      </c>
      <c r="F24" s="102">
        <f t="shared" si="4"/>
        <v>0.15092937531111991</v>
      </c>
      <c r="G24" s="102">
        <f t="shared" ref="G24" si="5">G23/G20</f>
        <v>0.15204221515998306</v>
      </c>
      <c r="H24" s="102">
        <f t="shared" ref="H24" si="6">H23/H20</f>
        <v>0.15311823343917591</v>
      </c>
      <c r="I24" s="23"/>
    </row>
    <row r="25" spans="2:9" x14ac:dyDescent="0.25">
      <c r="B25" s="23"/>
      <c r="C25" s="23"/>
      <c r="D25" s="23"/>
      <c r="E25" s="23"/>
      <c r="I25" s="23"/>
    </row>
    <row r="26" spans="2:9" x14ac:dyDescent="0.25">
      <c r="B26" s="59" t="s">
        <v>208</v>
      </c>
      <c r="C26" s="60">
        <f t="shared" ref="C26:E26" si="7">C20-C23</f>
        <v>91503.86000000003</v>
      </c>
      <c r="D26" s="60">
        <f t="shared" si="7"/>
        <v>89285.959999999977</v>
      </c>
      <c r="E26" s="60">
        <f t="shared" si="7"/>
        <v>108300.27000000002</v>
      </c>
      <c r="F26" s="100">
        <f>F20-F23</f>
        <v>122900.03112869841</v>
      </c>
      <c r="G26" s="100">
        <f t="shared" ref="G26:H26" si="8">G20-G23</f>
        <v>137926.15205070667</v>
      </c>
      <c r="H26" s="100">
        <f t="shared" si="8"/>
        <v>154782.56780720534</v>
      </c>
      <c r="I26" s="23"/>
    </row>
    <row r="27" spans="2:9" x14ac:dyDescent="0.25">
      <c r="B27" s="23"/>
      <c r="C27" s="23"/>
      <c r="D27" s="23"/>
      <c r="E27" s="23"/>
      <c r="I27" s="23"/>
    </row>
    <row r="28" spans="2:9" x14ac:dyDescent="0.25">
      <c r="B28" s="23" t="s">
        <v>203</v>
      </c>
      <c r="C28" s="37">
        <f>'HDFC CF Forecasting'!C9</f>
        <v>3092.08</v>
      </c>
      <c r="D28" s="37">
        <f>'HDFC CF Forecasting'!D9</f>
        <v>3805.23</v>
      </c>
      <c r="E28" s="37">
        <f>'HDFC CF Forecasting'!E9</f>
        <v>4194.8999999999996</v>
      </c>
      <c r="F28" s="101">
        <f>'HDFC CF Forecasting'!F9</f>
        <v>4893.4377387936165</v>
      </c>
      <c r="G28" s="101">
        <f>'HDFC CF Forecasting'!G9</f>
        <v>5708.2964798802323</v>
      </c>
      <c r="H28" s="101">
        <f>'HDFC CF Forecasting'!H9</f>
        <v>6658.8460794938346</v>
      </c>
      <c r="I28" s="23"/>
    </row>
    <row r="29" spans="2:9" x14ac:dyDescent="0.25">
      <c r="B29" s="23" t="s">
        <v>200</v>
      </c>
      <c r="C29" s="57">
        <f t="shared" ref="C29:F29" si="9">C28/C17</f>
        <v>1.2180438202380859E-2</v>
      </c>
      <c r="D29" s="57">
        <f t="shared" si="9"/>
        <v>1.3257637322442452E-2</v>
      </c>
      <c r="E29" s="57">
        <f t="shared" si="9"/>
        <v>1.3533176170537954E-2</v>
      </c>
      <c r="F29" s="102">
        <f t="shared" si="9"/>
        <v>1.4277338306972235E-2</v>
      </c>
      <c r="G29" s="102">
        <f t="shared" ref="G29" si="10">G28/G17</f>
        <v>1.5060083811670866E-2</v>
      </c>
      <c r="H29" s="102">
        <f t="shared" ref="H29" si="11">H28/H17</f>
        <v>1.588331481772275E-2</v>
      </c>
      <c r="I29" s="23"/>
    </row>
    <row r="30" spans="2:9" x14ac:dyDescent="0.25">
      <c r="B30" s="23"/>
      <c r="C30" s="23"/>
      <c r="D30" s="23"/>
      <c r="E30" s="23"/>
      <c r="I30" s="23"/>
    </row>
    <row r="31" spans="2:9" x14ac:dyDescent="0.25">
      <c r="B31" s="23" t="s">
        <v>204</v>
      </c>
      <c r="C31" s="37">
        <f>'HDFC CF Forecasting'!C19</f>
        <v>-4186.8999999999996</v>
      </c>
      <c r="D31" s="37">
        <f>'HDFC CF Forecasting'!D19</f>
        <v>-3975.17</v>
      </c>
      <c r="E31" s="37">
        <f>'HDFC CF Forecasting'!E19</f>
        <v>-3362.41</v>
      </c>
      <c r="F31" s="101">
        <f>'HDFC CF Forecasting'!F19</f>
        <v>-4417.8226120749923</v>
      </c>
      <c r="G31" s="101">
        <f>'HDFC CF Forecasting'!G19</f>
        <v>-16203.309039156133</v>
      </c>
      <c r="H31" s="101">
        <f>'HDFC CF Forecasting'!H19</f>
        <v>-17053.925389413955</v>
      </c>
      <c r="I31" s="23"/>
    </row>
    <row r="32" spans="2:9" x14ac:dyDescent="0.25">
      <c r="B32" s="23" t="s">
        <v>200</v>
      </c>
      <c r="C32" s="57">
        <f t="shared" ref="C32:F32" si="12">C31/C17</f>
        <v>-1.6493194454719286E-2</v>
      </c>
      <c r="D32" s="57">
        <f t="shared" si="12"/>
        <v>-1.384971792902231E-2</v>
      </c>
      <c r="E32" s="57">
        <f t="shared" si="12"/>
        <v>-1.0847478339788439E-2</v>
      </c>
      <c r="F32" s="102">
        <f t="shared" si="12"/>
        <v>-1.2889659862789282E-2</v>
      </c>
      <c r="G32" s="102">
        <f t="shared" ref="G32" si="13">G31/G17</f>
        <v>-4.274886439696899E-2</v>
      </c>
      <c r="H32" s="102">
        <f t="shared" ref="H32" si="14">H31/H17</f>
        <v>-4.0678649514392595E-2</v>
      </c>
      <c r="I32" s="23"/>
    </row>
    <row r="33" spans="2:9" x14ac:dyDescent="0.25">
      <c r="B33" s="23"/>
      <c r="C33" s="23"/>
      <c r="D33" s="23"/>
      <c r="E33" s="23"/>
      <c r="I33" s="23"/>
    </row>
    <row r="34" spans="2:9" x14ac:dyDescent="0.25">
      <c r="B34" s="23" t="s">
        <v>205</v>
      </c>
      <c r="C34" s="37">
        <f>'HDFC CF Forecasting'!C12</f>
        <v>-49706.22</v>
      </c>
      <c r="D34" s="37">
        <f>'HDFC CF Forecasting'!D12</f>
        <v>-19708.68</v>
      </c>
      <c r="E34" s="37">
        <f>'HDFC CF Forecasting'!E12</f>
        <v>2617.42</v>
      </c>
      <c r="F34" s="101">
        <f>'HDFC CF Forecasting'!F12</f>
        <v>-28476.546150194132</v>
      </c>
      <c r="G34" s="101">
        <f>'HDFC CF Forecasting'!G12</f>
        <v>-31026.278542945754</v>
      </c>
      <c r="H34" s="101">
        <f>'HDFC CF Forecasting'!H12</f>
        <v>-33804.308821275139</v>
      </c>
      <c r="I34" s="23"/>
    </row>
    <row r="35" spans="2:9" x14ac:dyDescent="0.25">
      <c r="B35" s="23" t="s">
        <v>206</v>
      </c>
      <c r="C35" s="57">
        <f t="shared" ref="C35:F35" si="15">C34/C17</f>
        <v>-0.19580461727508586</v>
      </c>
      <c r="D35" s="57">
        <f t="shared" si="15"/>
        <v>-6.8666159875769683E-2</v>
      </c>
      <c r="E35" s="57">
        <f t="shared" si="15"/>
        <v>8.4440644526185271E-3</v>
      </c>
      <c r="F35" s="102">
        <f t="shared" si="15"/>
        <v>-8.3084593061699255E-2</v>
      </c>
      <c r="G35" s="102">
        <f t="shared" ref="G35" si="16">G34/G17</f>
        <v>-8.1856006755768956E-2</v>
      </c>
      <c r="H35" s="102">
        <f t="shared" ref="H35" si="17">H34/H17</f>
        <v>-8.0633261798514058E-2</v>
      </c>
      <c r="I35" s="23"/>
    </row>
    <row r="36" spans="2:9" x14ac:dyDescent="0.25">
      <c r="B36" s="23"/>
      <c r="C36" s="23"/>
      <c r="D36" s="23"/>
      <c r="E36" s="23"/>
      <c r="I36" s="23"/>
    </row>
    <row r="37" spans="2:9" x14ac:dyDescent="0.25">
      <c r="B37" s="59" t="s">
        <v>209</v>
      </c>
      <c r="C37" s="60">
        <f t="shared" ref="C37:E37" si="18">C26+C28+C31+C34</f>
        <v>40702.820000000036</v>
      </c>
      <c r="D37" s="60">
        <f t="shared" si="18"/>
        <v>69407.339999999967</v>
      </c>
      <c r="E37" s="60">
        <f t="shared" si="18"/>
        <v>111750.18000000001</v>
      </c>
      <c r="F37" s="100">
        <f>F26+F28+F31+F34</f>
        <v>94899.100105222897</v>
      </c>
      <c r="G37" s="100">
        <f>G26+G28+G31+G34</f>
        <v>96404.860948485017</v>
      </c>
      <c r="H37" s="100">
        <f>H26+H28+H31+H34</f>
        <v>110583.1796760101</v>
      </c>
      <c r="I37" s="23"/>
    </row>
    <row r="38" spans="2:9" x14ac:dyDescent="0.25">
      <c r="B38" s="59" t="s">
        <v>220</v>
      </c>
      <c r="C38" s="60">
        <f t="shared" ref="C38:E38" si="19">C37/(1+$C$49)^1</f>
        <v>38082.951594906248</v>
      </c>
      <c r="D38" s="60">
        <f t="shared" si="19"/>
        <v>64939.883024104885</v>
      </c>
      <c r="E38" s="60">
        <f t="shared" si="19"/>
        <v>104557.29346669487</v>
      </c>
      <c r="F38" s="100">
        <f>F37/(1+$C$49)^1</f>
        <v>88790.846327290419</v>
      </c>
      <c r="G38" s="100">
        <f>G37/(1+$C$49)^2</f>
        <v>84393.915238003799</v>
      </c>
      <c r="H38" s="100">
        <f>H37/(1+$C$49)^3</f>
        <v>90574.798702970642</v>
      </c>
      <c r="I38" s="23"/>
    </row>
    <row r="39" spans="2:9" x14ac:dyDescent="0.25">
      <c r="B39" s="23"/>
      <c r="C39" s="23"/>
      <c r="D39" s="23"/>
      <c r="E39" s="23"/>
      <c r="F39" s="23"/>
      <c r="G39" s="23"/>
      <c r="H39" s="23"/>
      <c r="I39" s="23"/>
    </row>
    <row r="40" spans="2:9" x14ac:dyDescent="0.25">
      <c r="B40" s="56" t="s">
        <v>221</v>
      </c>
      <c r="C40" s="61">
        <f>H37*(1+$C$12)/($C$49-$C$12)</f>
        <v>3994150.6276695533</v>
      </c>
      <c r="D40" s="23"/>
      <c r="E40" s="23"/>
      <c r="F40" s="23"/>
      <c r="G40" s="23"/>
      <c r="H40" s="23"/>
      <c r="I40" s="23"/>
    </row>
    <row r="41" spans="2:9" x14ac:dyDescent="0.25">
      <c r="B41" s="56" t="s">
        <v>222</v>
      </c>
      <c r="C41" s="61">
        <f>C40/(1+$C$49)^3</f>
        <v>3271468.5013619284</v>
      </c>
      <c r="D41" s="23"/>
      <c r="E41" s="23"/>
      <c r="F41" s="23"/>
      <c r="G41" s="23"/>
      <c r="H41" s="23"/>
      <c r="I41" s="23"/>
    </row>
    <row r="42" spans="2:9" x14ac:dyDescent="0.25">
      <c r="B42" s="56" t="s">
        <v>223</v>
      </c>
      <c r="C42" s="61">
        <f>SUM(F38:H38)+C41</f>
        <v>3535228.0616301931</v>
      </c>
      <c r="D42" s="26" t="s">
        <v>277</v>
      </c>
      <c r="E42" s="26"/>
      <c r="F42" s="26"/>
      <c r="G42" s="26"/>
      <c r="H42" s="23"/>
      <c r="I42" s="23"/>
    </row>
    <row r="43" spans="2:9" x14ac:dyDescent="0.25">
      <c r="B43" s="56" t="s">
        <v>224</v>
      </c>
      <c r="C43" s="37">
        <f>'HDFC BS Forecasting'!E18+'HDFC BS Forecasting'!E19</f>
        <v>311926.05</v>
      </c>
      <c r="D43" s="23"/>
      <c r="E43" s="23"/>
      <c r="F43" s="23"/>
      <c r="G43" s="23"/>
      <c r="H43" s="23"/>
      <c r="I43" s="23"/>
    </row>
    <row r="44" spans="2:9" x14ac:dyDescent="0.25">
      <c r="B44" s="56" t="s">
        <v>210</v>
      </c>
      <c r="C44" s="37">
        <f>C51</f>
        <v>588484.55000000005</v>
      </c>
      <c r="D44" s="23"/>
      <c r="E44" s="23"/>
      <c r="F44" s="23"/>
      <c r="G44" s="23"/>
      <c r="H44" s="23"/>
      <c r="I44" s="23"/>
    </row>
    <row r="45" spans="2:9" x14ac:dyDescent="0.25">
      <c r="B45" s="56" t="s">
        <v>214</v>
      </c>
      <c r="C45" s="37">
        <f>C42-C44+C43</f>
        <v>3258669.5616301931</v>
      </c>
      <c r="D45" s="23"/>
      <c r="E45" s="23"/>
      <c r="F45" s="23"/>
      <c r="G45" s="23"/>
      <c r="H45" s="23"/>
      <c r="I45" s="23"/>
    </row>
    <row r="46" spans="2:9" x14ac:dyDescent="0.25">
      <c r="B46" s="56" t="s">
        <v>225</v>
      </c>
      <c r="C46" s="31">
        <f>'HDFC IS Forecasting'!E26</f>
        <v>1542.7952775000001</v>
      </c>
      <c r="D46" s="23"/>
      <c r="E46" s="23"/>
      <c r="F46" s="23"/>
      <c r="G46" s="23"/>
      <c r="H46" s="23"/>
      <c r="I46" s="23"/>
    </row>
    <row r="47" spans="2:9" x14ac:dyDescent="0.25">
      <c r="B47" s="56" t="s">
        <v>226</v>
      </c>
      <c r="C47" s="37">
        <f>C45/C46</f>
        <v>2112.185336028936</v>
      </c>
      <c r="D47" s="23"/>
      <c r="E47" s="23"/>
      <c r="F47" s="23"/>
      <c r="G47" s="23"/>
      <c r="H47" s="23"/>
      <c r="I47" s="23"/>
    </row>
    <row r="48" spans="2:9" x14ac:dyDescent="0.25">
      <c r="B48" s="23"/>
      <c r="C48" s="23"/>
      <c r="D48" s="23"/>
      <c r="E48" s="23"/>
      <c r="F48" s="23"/>
      <c r="G48" s="23"/>
      <c r="H48" s="23"/>
      <c r="I48" s="23"/>
    </row>
    <row r="49" spans="2:9" x14ac:dyDescent="0.25">
      <c r="B49" s="56" t="s">
        <v>195</v>
      </c>
      <c r="C49" s="62">
        <f>C52*C53*(1-C54)+C57*C58</f>
        <v>6.8793733032084664E-2</v>
      </c>
      <c r="D49" s="123" t="s">
        <v>275</v>
      </c>
      <c r="E49" s="123"/>
      <c r="F49" s="123"/>
      <c r="G49" s="23"/>
      <c r="H49" s="23"/>
      <c r="I49" s="23"/>
    </row>
    <row r="50" spans="2:9" x14ac:dyDescent="0.25">
      <c r="B50" s="23"/>
      <c r="C50" s="23"/>
      <c r="D50" s="23"/>
      <c r="E50" s="23"/>
      <c r="F50" s="23"/>
      <c r="G50" s="23"/>
      <c r="H50" s="23"/>
      <c r="I50" s="23"/>
    </row>
    <row r="51" spans="2:9" x14ac:dyDescent="0.25">
      <c r="B51" s="23" t="s">
        <v>210</v>
      </c>
      <c r="C51" s="37">
        <f>'HDFC BS Forecasting'!E13</f>
        <v>588484.55000000005</v>
      </c>
      <c r="D51" s="122" t="s">
        <v>278</v>
      </c>
      <c r="E51" s="122"/>
      <c r="F51" s="122"/>
      <c r="G51" s="23"/>
      <c r="H51" s="23"/>
      <c r="I51" s="23"/>
    </row>
    <row r="52" spans="2:9" x14ac:dyDescent="0.25">
      <c r="B52" s="23" t="s">
        <v>211</v>
      </c>
      <c r="C52" s="57">
        <f>C51/(C51+C56)</f>
        <v>0.51374289596485612</v>
      </c>
      <c r="D52" s="122" t="s">
        <v>279</v>
      </c>
      <c r="E52" s="122"/>
      <c r="F52" s="122"/>
      <c r="G52" s="23"/>
      <c r="H52" s="23"/>
      <c r="I52" s="23"/>
    </row>
    <row r="53" spans="2:9" x14ac:dyDescent="0.25">
      <c r="B53" s="23" t="s">
        <v>212</v>
      </c>
      <c r="C53" s="57">
        <f>'HDFC IS Forecasting'!E8/('HDFC BS Forecasting'!E12+'HDFC BS Forecasting'!E13)</f>
        <v>5.0294211458531579E-2</v>
      </c>
      <c r="D53" s="122" t="s">
        <v>280</v>
      </c>
      <c r="E53" s="122"/>
      <c r="F53" s="122"/>
      <c r="G53" s="23"/>
      <c r="H53" s="23"/>
      <c r="I53" s="23"/>
    </row>
    <row r="54" spans="2:9" x14ac:dyDescent="0.25">
      <c r="B54" s="23" t="s">
        <v>213</v>
      </c>
      <c r="C54" s="57">
        <f>'HDFC IS Forecasting'!C36</f>
        <v>0.18749715762270039</v>
      </c>
      <c r="D54" s="63"/>
      <c r="E54" s="63"/>
      <c r="F54" s="63"/>
      <c r="G54" s="23"/>
      <c r="H54" s="23"/>
      <c r="I54" s="23"/>
    </row>
    <row r="55" spans="2:9" x14ac:dyDescent="0.25">
      <c r="B55" s="23"/>
      <c r="C55" s="23"/>
      <c r="D55" s="63"/>
      <c r="E55" s="63"/>
      <c r="F55" s="63"/>
      <c r="G55" s="23"/>
      <c r="H55" s="23"/>
      <c r="I55" s="23"/>
    </row>
    <row r="56" spans="2:9" x14ac:dyDescent="0.25">
      <c r="B56" s="23" t="s">
        <v>214</v>
      </c>
      <c r="C56" s="64">
        <v>557000</v>
      </c>
      <c r="D56" s="122" t="s">
        <v>281</v>
      </c>
      <c r="E56" s="122"/>
      <c r="F56" s="122"/>
      <c r="G56" s="23"/>
      <c r="H56" s="23"/>
      <c r="I56" s="23"/>
    </row>
    <row r="57" spans="2:9" x14ac:dyDescent="0.25">
      <c r="B57" s="23" t="s">
        <v>215</v>
      </c>
      <c r="C57" s="57">
        <f>C56/(C51+C56)</f>
        <v>0.48625710403514388</v>
      </c>
      <c r="D57" s="122" t="s">
        <v>282</v>
      </c>
      <c r="E57" s="122"/>
      <c r="F57" s="122"/>
      <c r="G57" s="23"/>
      <c r="H57" s="23"/>
      <c r="I57" s="23"/>
    </row>
    <row r="58" spans="2:9" x14ac:dyDescent="0.25">
      <c r="B58" s="23" t="s">
        <v>216</v>
      </c>
      <c r="C58" s="57">
        <f>C59+C60*C61</f>
        <v>9.8301999999999987E-2</v>
      </c>
      <c r="D58" s="122" t="s">
        <v>283</v>
      </c>
      <c r="E58" s="122"/>
      <c r="F58" s="122"/>
      <c r="G58" s="23"/>
      <c r="H58" s="23"/>
      <c r="I58" s="23"/>
    </row>
    <row r="59" spans="2:9" x14ac:dyDescent="0.25">
      <c r="B59" s="23" t="s">
        <v>217</v>
      </c>
      <c r="C59" s="57">
        <v>6.7599999999999993E-2</v>
      </c>
      <c r="D59" s="122" t="s">
        <v>284</v>
      </c>
      <c r="E59" s="122"/>
      <c r="F59" s="122"/>
      <c r="G59" s="23"/>
      <c r="H59" s="23"/>
      <c r="I59" s="23"/>
    </row>
    <row r="60" spans="2:9" x14ac:dyDescent="0.25">
      <c r="B60" s="23" t="s">
        <v>218</v>
      </c>
      <c r="C60" s="65">
        <v>0.42</v>
      </c>
      <c r="D60" s="122" t="s">
        <v>285</v>
      </c>
      <c r="E60" s="122"/>
      <c r="F60" s="122"/>
      <c r="G60" s="23"/>
      <c r="H60" s="23"/>
      <c r="I60" s="23"/>
    </row>
    <row r="61" spans="2:9" x14ac:dyDescent="0.25">
      <c r="B61" s="23" t="s">
        <v>219</v>
      </c>
      <c r="C61" s="57">
        <v>7.3099999999999998E-2</v>
      </c>
      <c r="D61" s="122" t="s">
        <v>286</v>
      </c>
      <c r="E61" s="122"/>
      <c r="F61" s="122"/>
      <c r="G61" s="23"/>
      <c r="H61" s="23"/>
      <c r="I61" s="23"/>
    </row>
  </sheetData>
  <mergeCells count="13">
    <mergeCell ref="B1:J2"/>
    <mergeCell ref="B3:J3"/>
    <mergeCell ref="B4:J4"/>
    <mergeCell ref="D61:F61"/>
    <mergeCell ref="D58:F58"/>
    <mergeCell ref="D59:F59"/>
    <mergeCell ref="D60:F60"/>
    <mergeCell ref="D49:F49"/>
    <mergeCell ref="D53:F53"/>
    <mergeCell ref="D51:F51"/>
    <mergeCell ref="D52:F52"/>
    <mergeCell ref="D56:F56"/>
    <mergeCell ref="D57:F5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CE68-8925-4597-B1D6-0D8403AC7D2E}">
  <dimension ref="B1:J29"/>
  <sheetViews>
    <sheetView workbookViewId="0">
      <selection activeCell="L22" sqref="L22"/>
    </sheetView>
  </sheetViews>
  <sheetFormatPr defaultRowHeight="15" x14ac:dyDescent="0.25"/>
  <cols>
    <col min="1" max="1" width="1.85546875" customWidth="1"/>
    <col min="2" max="2" width="38.7109375" bestFit="1" customWidth="1"/>
    <col min="3" max="5" width="17.140625" customWidth="1"/>
    <col min="6" max="6" width="16.7109375" customWidth="1"/>
    <col min="7" max="7" width="17" customWidth="1"/>
    <col min="8" max="8" width="17.140625" customWidth="1"/>
  </cols>
  <sheetData>
    <row r="1" spans="2:10" x14ac:dyDescent="0.25">
      <c r="B1" s="103" t="s">
        <v>20</v>
      </c>
      <c r="C1" s="103"/>
      <c r="D1" s="103"/>
      <c r="E1" s="103"/>
      <c r="F1" s="103"/>
      <c r="G1" s="103"/>
      <c r="H1" s="103"/>
      <c r="I1" s="103"/>
      <c r="J1" s="103"/>
    </row>
    <row r="2" spans="2:10" x14ac:dyDescent="0.25">
      <c r="B2" s="103"/>
      <c r="C2" s="103"/>
      <c r="D2" s="103"/>
      <c r="E2" s="103"/>
      <c r="F2" s="103"/>
      <c r="G2" s="103"/>
      <c r="H2" s="103"/>
      <c r="I2" s="103"/>
      <c r="J2" s="103"/>
    </row>
    <row r="3" spans="2:10" ht="15.75" x14ac:dyDescent="0.25">
      <c r="B3" s="104" t="s">
        <v>357</v>
      </c>
      <c r="C3" s="104"/>
      <c r="D3" s="104"/>
      <c r="E3" s="104"/>
      <c r="F3" s="104"/>
      <c r="G3" s="104"/>
      <c r="H3" s="104"/>
      <c r="I3" s="104"/>
      <c r="J3" s="104"/>
    </row>
    <row r="4" spans="2:10" x14ac:dyDescent="0.25">
      <c r="B4" s="105" t="s">
        <v>358</v>
      </c>
      <c r="C4" s="105"/>
      <c r="D4" s="105"/>
      <c r="E4" s="105"/>
      <c r="F4" s="105"/>
      <c r="G4" s="105"/>
      <c r="H4" s="105"/>
      <c r="I4" s="105"/>
      <c r="J4" s="105"/>
    </row>
    <row r="7" spans="2:10" x14ac:dyDescent="0.25">
      <c r="B7" s="23" t="s">
        <v>359</v>
      </c>
      <c r="C7" s="37">
        <f>C29</f>
        <v>365.61775199676924</v>
      </c>
      <c r="D7" s="26" t="s">
        <v>409</v>
      </c>
      <c r="E7" s="26"/>
    </row>
    <row r="8" spans="2:10" x14ac:dyDescent="0.25">
      <c r="B8" s="23" t="s">
        <v>193</v>
      </c>
      <c r="C8" s="37">
        <f>'SBI DCF'!C8</f>
        <v>1067.7</v>
      </c>
      <c r="D8" s="26"/>
      <c r="E8" s="26"/>
    </row>
    <row r="9" spans="2:10" x14ac:dyDescent="0.25">
      <c r="B9" s="23" t="s">
        <v>360</v>
      </c>
      <c r="C9" s="57">
        <f>C7/C8-1</f>
        <v>-0.65756509132081176</v>
      </c>
      <c r="D9" s="26" t="s">
        <v>410</v>
      </c>
      <c r="E9" s="26"/>
    </row>
    <row r="10" spans="2:10" x14ac:dyDescent="0.25">
      <c r="B10" s="56" t="s">
        <v>194</v>
      </c>
      <c r="C10" s="56"/>
      <c r="D10" s="5"/>
      <c r="E10" s="5"/>
      <c r="F10" s="5"/>
      <c r="G10" s="5"/>
      <c r="H10" s="5"/>
    </row>
    <row r="11" spans="2:10" x14ac:dyDescent="0.25">
      <c r="B11" s="23" t="s">
        <v>361</v>
      </c>
      <c r="C11" s="57">
        <f>'SBI DCF'!C59</f>
        <v>9.4646999999999995E-2</v>
      </c>
      <c r="D11" s="26" t="s">
        <v>411</v>
      </c>
    </row>
    <row r="12" spans="2:10" x14ac:dyDescent="0.25">
      <c r="B12" s="23" t="s">
        <v>362</v>
      </c>
      <c r="C12" s="57">
        <f>'SBI DCF'!C12</f>
        <v>0.04</v>
      </c>
      <c r="D12" s="26" t="s">
        <v>412</v>
      </c>
    </row>
    <row r="13" spans="2:10" x14ac:dyDescent="0.25">
      <c r="B13" s="23"/>
      <c r="C13" s="23"/>
    </row>
    <row r="14" spans="2:10" x14ac:dyDescent="0.25">
      <c r="B14" s="23"/>
      <c r="C14" s="23"/>
    </row>
    <row r="15" spans="2:10" x14ac:dyDescent="0.25">
      <c r="B15" s="56" t="s">
        <v>363</v>
      </c>
      <c r="C15" s="56">
        <v>2024</v>
      </c>
      <c r="D15" s="5">
        <v>2025</v>
      </c>
      <c r="E15" s="5">
        <v>2026</v>
      </c>
      <c r="F15" s="5">
        <v>2027</v>
      </c>
      <c r="G15" s="5">
        <v>2028</v>
      </c>
      <c r="H15" s="5">
        <v>2029</v>
      </c>
    </row>
    <row r="16" spans="2:10" x14ac:dyDescent="0.25">
      <c r="B16" s="23"/>
      <c r="C16" s="23"/>
    </row>
    <row r="17" spans="2:8" x14ac:dyDescent="0.25">
      <c r="B17" s="23" t="s">
        <v>14</v>
      </c>
      <c r="C17" s="37">
        <f>'SBI IS Forecasting'!C22</f>
        <v>67084.662799999991</v>
      </c>
      <c r="D17" s="79">
        <f>'SBI IS Forecasting'!D22</f>
        <v>77561.33620000002</v>
      </c>
      <c r="E17" s="79">
        <f>'SBI IS Forecasting'!E22</f>
        <v>83298.785500000027</v>
      </c>
      <c r="F17" s="94">
        <f>'SBI IS Forecasting'!F22</f>
        <v>98554.13050541516</v>
      </c>
      <c r="G17" s="94">
        <f>'SBI IS Forecasting'!G22</f>
        <v>113324.89864434002</v>
      </c>
      <c r="H17" s="94">
        <f>'SBI IS Forecasting'!H22</f>
        <v>129872.06188368922</v>
      </c>
    </row>
    <row r="18" spans="2:8" x14ac:dyDescent="0.25">
      <c r="B18" s="23" t="s">
        <v>364</v>
      </c>
      <c r="C18" s="37">
        <f>-'SBI CF Forecasting'!C24</f>
        <v>10084.8115</v>
      </c>
      <c r="D18" s="79">
        <f>-'SBI CF Forecasting'!D24</f>
        <v>12226.7183</v>
      </c>
      <c r="E18" s="79">
        <f>-'SBI CF Forecasting'!E24</f>
        <v>14190.1459</v>
      </c>
      <c r="F18" s="94">
        <f>-'SBI CF Forecasting'!F24</f>
        <v>15713.514418714602</v>
      </c>
      <c r="G18" s="94">
        <f>-'SBI CF Forecasting'!G24</f>
        <v>18068.572262928781</v>
      </c>
      <c r="H18" s="94">
        <f>-'SBI CF Forecasting'!H24</f>
        <v>20706.859332348478</v>
      </c>
    </row>
    <row r="19" spans="2:8" x14ac:dyDescent="0.25">
      <c r="B19" s="23" t="s">
        <v>365</v>
      </c>
      <c r="C19" s="57">
        <f t="shared" ref="C19:H19" si="0">C18/C17</f>
        <v>0.1503296145359771</v>
      </c>
      <c r="D19" s="69">
        <f t="shared" si="0"/>
        <v>0.15763934582653563</v>
      </c>
      <c r="E19" s="69">
        <f t="shared" si="0"/>
        <v>0.1703523744652915</v>
      </c>
      <c r="F19" s="95">
        <f t="shared" si="0"/>
        <v>0.15944044494260143</v>
      </c>
      <c r="G19" s="95">
        <f t="shared" si="0"/>
        <v>0.15944044494260143</v>
      </c>
      <c r="H19" s="95">
        <f t="shared" si="0"/>
        <v>0.15944044494260143</v>
      </c>
    </row>
    <row r="20" spans="2:8" x14ac:dyDescent="0.25">
      <c r="B20" s="23" t="s">
        <v>366</v>
      </c>
      <c r="C20" s="31">
        <f>'SBI IS Forecasting'!C27</f>
        <v>892.46119339999996</v>
      </c>
      <c r="D20" s="83">
        <f>'SBI IS Forecasting'!D27</f>
        <v>892.46171470000002</v>
      </c>
      <c r="E20" s="83">
        <f>'SBI IS Forecasting'!E27</f>
        <v>913.75607960000002</v>
      </c>
      <c r="F20" s="96">
        <f>'SBI IS Forecasting'!F27</f>
        <v>924.65757341727783</v>
      </c>
      <c r="G20" s="96">
        <f>'SBI IS Forecasting'!G27</f>
        <v>935.68912663454353</v>
      </c>
      <c r="H20" s="96">
        <f>'SBI IS Forecasting'!H27</f>
        <v>946.85229091506551</v>
      </c>
    </row>
    <row r="21" spans="2:8" x14ac:dyDescent="0.25">
      <c r="B21" s="23" t="s">
        <v>367</v>
      </c>
      <c r="C21" s="37">
        <f t="shared" ref="C21:H21" si="1">C18/C20</f>
        <v>11.300000016336845</v>
      </c>
      <c r="D21" s="79">
        <f t="shared" si="1"/>
        <v>13.69999194207451</v>
      </c>
      <c r="E21" s="79">
        <f t="shared" si="1"/>
        <v>15.529468111677884</v>
      </c>
      <c r="F21" s="94">
        <f t="shared" si="1"/>
        <v>16.993874132930976</v>
      </c>
      <c r="G21" s="94">
        <f t="shared" si="1"/>
        <v>19.310443766635654</v>
      </c>
      <c r="H21" s="94">
        <f t="shared" si="1"/>
        <v>21.869154810130702</v>
      </c>
    </row>
    <row r="22" spans="2:8" x14ac:dyDescent="0.25">
      <c r="B22" s="23"/>
      <c r="C22" s="23"/>
    </row>
    <row r="23" spans="2:8" x14ac:dyDescent="0.25">
      <c r="B23" s="23"/>
      <c r="C23" s="23"/>
    </row>
    <row r="24" spans="2:8" x14ac:dyDescent="0.25">
      <c r="B24" s="56" t="s">
        <v>368</v>
      </c>
      <c r="C24" s="23"/>
    </row>
    <row r="25" spans="2:8" x14ac:dyDescent="0.25">
      <c r="B25" s="23" t="s">
        <v>369</v>
      </c>
      <c r="C25" s="23"/>
      <c r="F25" s="97">
        <f>F21/(1+$C$11)^1</f>
        <v>15.524524465814986</v>
      </c>
      <c r="G25" s="98">
        <f>G21/(1+$C$11)^2</f>
        <v>16.115510666023287</v>
      </c>
      <c r="H25" s="99">
        <f>H21/(1+$C$11)^3</f>
        <v>16.672845486734882</v>
      </c>
    </row>
    <row r="26" spans="2:8" x14ac:dyDescent="0.25">
      <c r="B26" s="23"/>
      <c r="C26" s="23"/>
    </row>
    <row r="27" spans="2:8" x14ac:dyDescent="0.25">
      <c r="B27" s="23" t="s">
        <v>370</v>
      </c>
      <c r="C27" s="37">
        <f>H21*(1+$C$12)/($C$11-$C$12)</f>
        <v>416.19706484410733</v>
      </c>
      <c r="D27" s="26" t="s">
        <v>408</v>
      </c>
    </row>
    <row r="28" spans="2:8" x14ac:dyDescent="0.25">
      <c r="B28" s="23" t="s">
        <v>371</v>
      </c>
      <c r="C28" s="37">
        <f>C27/(1+$C$11)^3</f>
        <v>317.30487137819608</v>
      </c>
      <c r="D28" s="26"/>
    </row>
    <row r="29" spans="2:8" x14ac:dyDescent="0.25">
      <c r="B29" s="23" t="s">
        <v>372</v>
      </c>
      <c r="C29" s="37">
        <f>SUM(F25:H25)+C28</f>
        <v>365.61775199676924</v>
      </c>
    </row>
  </sheetData>
  <mergeCells count="3">
    <mergeCell ref="B4:J4"/>
    <mergeCell ref="B1:J2"/>
    <mergeCell ref="B3:J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AD2E-895C-42DD-84EB-C6CB79BFEFA7}">
  <dimension ref="B1:J29"/>
  <sheetViews>
    <sheetView workbookViewId="0">
      <selection activeCell="H28" sqref="H28"/>
    </sheetView>
  </sheetViews>
  <sheetFormatPr defaultRowHeight="15" x14ac:dyDescent="0.25"/>
  <cols>
    <col min="1" max="1" width="2" customWidth="1"/>
    <col min="2" max="2" width="38.7109375" bestFit="1" customWidth="1"/>
    <col min="3" max="3" width="17.42578125" customWidth="1"/>
    <col min="4" max="5" width="17.140625" customWidth="1"/>
    <col min="6" max="6" width="17" customWidth="1"/>
    <col min="7" max="7" width="17.42578125" customWidth="1"/>
    <col min="8" max="8" width="17.7109375" customWidth="1"/>
    <col min="9" max="9" width="16.42578125" customWidth="1"/>
    <col min="10" max="10" width="17.140625" customWidth="1"/>
  </cols>
  <sheetData>
    <row r="1" spans="2:10" x14ac:dyDescent="0.25">
      <c r="B1" s="103" t="s">
        <v>21</v>
      </c>
      <c r="C1" s="103"/>
      <c r="D1" s="103"/>
      <c r="E1" s="103"/>
      <c r="F1" s="103"/>
      <c r="G1" s="103"/>
      <c r="H1" s="103"/>
      <c r="I1" s="103"/>
      <c r="J1" s="103"/>
    </row>
    <row r="2" spans="2:10" x14ac:dyDescent="0.25">
      <c r="B2" s="103"/>
      <c r="C2" s="103"/>
      <c r="D2" s="103"/>
      <c r="E2" s="103"/>
      <c r="F2" s="103"/>
      <c r="G2" s="103"/>
      <c r="H2" s="103"/>
      <c r="I2" s="103"/>
      <c r="J2" s="103"/>
    </row>
    <row r="3" spans="2:10" ht="15.75" x14ac:dyDescent="0.25">
      <c r="B3" s="104" t="s">
        <v>357</v>
      </c>
      <c r="C3" s="104"/>
      <c r="D3" s="104"/>
      <c r="E3" s="104"/>
      <c r="F3" s="104"/>
      <c r="G3" s="104"/>
      <c r="H3" s="104"/>
      <c r="I3" s="104"/>
      <c r="J3" s="104"/>
    </row>
    <row r="4" spans="2:10" x14ac:dyDescent="0.25">
      <c r="B4" s="105" t="s">
        <v>358</v>
      </c>
      <c r="C4" s="105"/>
      <c r="D4" s="105"/>
      <c r="E4" s="105"/>
      <c r="F4" s="105"/>
      <c r="G4" s="105"/>
      <c r="H4" s="105"/>
      <c r="I4" s="105"/>
      <c r="J4" s="105"/>
    </row>
    <row r="7" spans="2:10" x14ac:dyDescent="0.25">
      <c r="B7" s="23" t="s">
        <v>359</v>
      </c>
      <c r="C7" s="37">
        <f>C29</f>
        <v>214.27548838451634</v>
      </c>
      <c r="D7" s="26" t="s">
        <v>413</v>
      </c>
    </row>
    <row r="8" spans="2:10" x14ac:dyDescent="0.25">
      <c r="B8" s="23" t="s">
        <v>193</v>
      </c>
      <c r="C8" s="37">
        <f>'HDFC DCF'!C8</f>
        <v>727</v>
      </c>
      <c r="D8" s="26"/>
    </row>
    <row r="9" spans="2:10" x14ac:dyDescent="0.25">
      <c r="B9" s="23" t="s">
        <v>360</v>
      </c>
      <c r="C9" s="57">
        <f>C7/C8-1</f>
        <v>-0.70526067622487432</v>
      </c>
      <c r="D9" s="26" t="s">
        <v>414</v>
      </c>
    </row>
    <row r="10" spans="2:10" x14ac:dyDescent="0.25">
      <c r="B10" s="56" t="s">
        <v>194</v>
      </c>
      <c r="C10" s="56"/>
      <c r="D10" s="5"/>
      <c r="E10" s="5"/>
      <c r="F10" s="5"/>
      <c r="G10" s="5"/>
      <c r="H10" s="5"/>
    </row>
    <row r="11" spans="2:10" x14ac:dyDescent="0.25">
      <c r="B11" s="23" t="s">
        <v>361</v>
      </c>
      <c r="C11" s="57">
        <f>'HDFC DCF'!C58</f>
        <v>9.8301999999999987E-2</v>
      </c>
      <c r="D11" s="26" t="s">
        <v>415</v>
      </c>
    </row>
    <row r="12" spans="2:10" x14ac:dyDescent="0.25">
      <c r="B12" s="23" t="s">
        <v>362</v>
      </c>
      <c r="C12" s="57">
        <f>'HDFC DCF'!C12</f>
        <v>0.04</v>
      </c>
      <c r="D12" s="26" t="s">
        <v>416</v>
      </c>
    </row>
    <row r="13" spans="2:10" x14ac:dyDescent="0.25">
      <c r="B13" s="23"/>
      <c r="C13" s="23"/>
    </row>
    <row r="14" spans="2:10" x14ac:dyDescent="0.25">
      <c r="B14" s="23"/>
      <c r="C14" s="23"/>
    </row>
    <row r="15" spans="2:10" x14ac:dyDescent="0.25">
      <c r="B15" s="56" t="s">
        <v>363</v>
      </c>
      <c r="C15" s="56">
        <v>2024</v>
      </c>
      <c r="D15" s="5">
        <v>2025</v>
      </c>
      <c r="E15" s="5">
        <v>2026</v>
      </c>
      <c r="F15" s="5">
        <v>2027</v>
      </c>
      <c r="G15" s="5">
        <v>2028</v>
      </c>
      <c r="H15" s="5">
        <v>2029</v>
      </c>
    </row>
    <row r="16" spans="2:10" x14ac:dyDescent="0.25">
      <c r="B16" s="23"/>
      <c r="C16" s="23"/>
    </row>
    <row r="17" spans="2:8" x14ac:dyDescent="0.25">
      <c r="B17" s="23" t="s">
        <v>14</v>
      </c>
      <c r="C17" s="37">
        <f>'HDFC IS Forecasting'!C21</f>
        <v>64062.04000000003</v>
      </c>
      <c r="D17" s="79">
        <f>'HDFC IS Forecasting'!D21</f>
        <v>70792.249999999971</v>
      </c>
      <c r="E17" s="79">
        <f>'HDFC IS Forecasting'!E21</f>
        <v>76025.970000000016</v>
      </c>
      <c r="F17" s="88">
        <f>'HDFC IS Forecasting'!F21</f>
        <v>91190.662148483127</v>
      </c>
      <c r="G17" s="88">
        <f>'HDFC IS Forecasting'!G21</f>
        <v>103377.74260528755</v>
      </c>
      <c r="H17" s="88">
        <f>'HDFC IS Forecasting'!H21</f>
        <v>117140.92958534796</v>
      </c>
    </row>
    <row r="18" spans="2:8" x14ac:dyDescent="0.25">
      <c r="B18" s="23" t="s">
        <v>364</v>
      </c>
      <c r="C18" s="37">
        <f>-'HDFC CF Forecasting'!C24</f>
        <v>8404.42</v>
      </c>
      <c r="D18" s="79">
        <f>-'HDFC CF Forecasting'!D24</f>
        <v>14826.19</v>
      </c>
      <c r="E18" s="79">
        <f>-'HDFC CF Forecasting'!E24</f>
        <v>20705.98</v>
      </c>
      <c r="F18" s="88">
        <f>-'HDFC CF Forecasting'!F24</f>
        <v>18632.632833995845</v>
      </c>
      <c r="G18" s="88">
        <f>-'HDFC CF Forecasting'!G24</f>
        <v>21122.771518374073</v>
      </c>
      <c r="H18" s="88">
        <f>-'HDFC CF Forecasting'!H24</f>
        <v>23934.949910143361</v>
      </c>
    </row>
    <row r="19" spans="2:8" x14ac:dyDescent="0.25">
      <c r="B19" s="23" t="s">
        <v>365</v>
      </c>
      <c r="C19" s="57">
        <f t="shared" ref="C19:H19" si="0">C18/C17</f>
        <v>0.13119188836321785</v>
      </c>
      <c r="D19" s="69">
        <f t="shared" si="0"/>
        <v>0.20943238843234968</v>
      </c>
      <c r="E19" s="69">
        <f t="shared" si="0"/>
        <v>0.27235403902113969</v>
      </c>
      <c r="F19" s="89">
        <f t="shared" si="0"/>
        <v>0.20432610527223574</v>
      </c>
      <c r="G19" s="89">
        <f t="shared" si="0"/>
        <v>0.20432610527223571</v>
      </c>
      <c r="H19" s="89">
        <f t="shared" si="0"/>
        <v>0.20432610527223574</v>
      </c>
    </row>
    <row r="20" spans="2:8" x14ac:dyDescent="0.25">
      <c r="B20" s="23" t="s">
        <v>366</v>
      </c>
      <c r="C20" s="31">
        <f>'HDFC IS Forecasting'!C26</f>
        <v>1423.4427286</v>
      </c>
      <c r="D20" s="83">
        <f>'HDFC IS Forecasting'!D26</f>
        <v>1532.3941142000001</v>
      </c>
      <c r="E20" s="83">
        <f>'HDFC IS Forecasting'!E26</f>
        <v>1542.7952775000001</v>
      </c>
      <c r="F20" s="90">
        <f>'HDFC IS Forecasting'!F26</f>
        <v>1607.2965709014609</v>
      </c>
      <c r="G20" s="90">
        <f>'HDFC IS Forecasting'!G26</f>
        <v>1682.1804508052076</v>
      </c>
      <c r="H20" s="90">
        <f>'HDFC IS Forecasting'!H26</f>
        <v>1760.5531675365557</v>
      </c>
    </row>
    <row r="21" spans="2:8" x14ac:dyDescent="0.25">
      <c r="B21" s="23" t="s">
        <v>367</v>
      </c>
      <c r="C21" s="37">
        <f t="shared" ref="C21:H21" si="1">C18/C20</f>
        <v>5.9042909357273592</v>
      </c>
      <c r="D21" s="79">
        <f t="shared" si="1"/>
        <v>9.6751807270808694</v>
      </c>
      <c r="E21" s="79">
        <f t="shared" si="1"/>
        <v>13.421080749970081</v>
      </c>
      <c r="F21" s="88">
        <f t="shared" si="1"/>
        <v>11.592529450582747</v>
      </c>
      <c r="G21" s="88">
        <f t="shared" si="1"/>
        <v>12.556780997106022</v>
      </c>
      <c r="H21" s="88">
        <f t="shared" si="1"/>
        <v>13.595130412127347</v>
      </c>
    </row>
    <row r="22" spans="2:8" x14ac:dyDescent="0.25">
      <c r="B22" s="23"/>
      <c r="C22" s="23"/>
    </row>
    <row r="23" spans="2:8" x14ac:dyDescent="0.25">
      <c r="B23" s="23"/>
      <c r="C23" s="23"/>
    </row>
    <row r="24" spans="2:8" x14ac:dyDescent="0.25">
      <c r="B24" s="56" t="s">
        <v>368</v>
      </c>
      <c r="C24" s="23"/>
    </row>
    <row r="25" spans="2:8" x14ac:dyDescent="0.25">
      <c r="B25" s="23" t="s">
        <v>369</v>
      </c>
      <c r="C25" s="23"/>
      <c r="F25" s="91">
        <f>F21/(1+$C$11)^1</f>
        <v>10.554956151024717</v>
      </c>
      <c r="G25" s="92">
        <f>G21/(1+$C$11)^2</f>
        <v>10.409617480259939</v>
      </c>
      <c r="H25" s="93">
        <f>H21/(1+$C$11)^3</f>
        <v>10.261670243651484</v>
      </c>
    </row>
    <row r="26" spans="2:8" x14ac:dyDescent="0.25">
      <c r="B26" s="23"/>
      <c r="C26" s="23"/>
    </row>
    <row r="27" spans="2:8" x14ac:dyDescent="0.25">
      <c r="B27" s="23" t="s">
        <v>370</v>
      </c>
      <c r="C27" s="37">
        <f>H21*(1+$C$12)/($C$11-$C$12)</f>
        <v>242.51201723118322</v>
      </c>
      <c r="D27" s="26" t="s">
        <v>408</v>
      </c>
    </row>
    <row r="28" spans="2:8" x14ac:dyDescent="0.25">
      <c r="B28" s="23" t="s">
        <v>371</v>
      </c>
      <c r="C28" s="37">
        <f>C27/(1+$C$11)^3</f>
        <v>183.04924450958021</v>
      </c>
      <c r="D28" s="26"/>
    </row>
    <row r="29" spans="2:8" x14ac:dyDescent="0.25">
      <c r="B29" s="23" t="s">
        <v>372</v>
      </c>
      <c r="C29" s="37">
        <f>SUM(F25:H25)+C28</f>
        <v>214.27548838451634</v>
      </c>
    </row>
  </sheetData>
  <mergeCells count="3">
    <mergeCell ref="B1:J2"/>
    <mergeCell ref="B3:J3"/>
    <mergeCell ref="B4:J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A976-92F5-4D52-A44E-78F46B19E027}">
  <dimension ref="B1:E25"/>
  <sheetViews>
    <sheetView tabSelected="1" workbookViewId="0">
      <selection activeCell="E25" sqref="E25"/>
    </sheetView>
  </sheetViews>
  <sheetFormatPr defaultRowHeight="15" x14ac:dyDescent="0.25"/>
  <cols>
    <col min="1" max="1" width="2.140625" customWidth="1"/>
    <col min="2" max="2" width="35.7109375" bestFit="1" customWidth="1"/>
    <col min="3" max="3" width="27.42578125" customWidth="1"/>
    <col min="4" max="4" width="37.85546875" customWidth="1"/>
    <col min="5" max="5" width="220" bestFit="1" customWidth="1"/>
  </cols>
  <sheetData>
    <row r="1" spans="2:5" x14ac:dyDescent="0.25">
      <c r="B1" s="103" t="s">
        <v>373</v>
      </c>
      <c r="C1" s="103"/>
      <c r="D1" s="103"/>
    </row>
    <row r="2" spans="2:5" x14ac:dyDescent="0.25">
      <c r="B2" s="103"/>
      <c r="C2" s="103"/>
      <c r="D2" s="103"/>
    </row>
    <row r="3" spans="2:5" ht="15.75" x14ac:dyDescent="0.25">
      <c r="B3" s="104" t="s">
        <v>374</v>
      </c>
      <c r="C3" s="104"/>
      <c r="D3" s="104"/>
    </row>
    <row r="4" spans="2:5" x14ac:dyDescent="0.25">
      <c r="B4" s="105" t="s">
        <v>375</v>
      </c>
      <c r="C4" s="105"/>
      <c r="D4" s="105"/>
    </row>
    <row r="5" spans="2:5" x14ac:dyDescent="0.25">
      <c r="B5" s="73" t="s">
        <v>376</v>
      </c>
      <c r="C5" s="73" t="s">
        <v>377</v>
      </c>
      <c r="D5" s="73" t="s">
        <v>378</v>
      </c>
      <c r="E5" s="73" t="s">
        <v>275</v>
      </c>
    </row>
    <row r="6" spans="2:5" x14ac:dyDescent="0.25">
      <c r="B6" s="84" t="s">
        <v>379</v>
      </c>
    </row>
    <row r="7" spans="2:5" x14ac:dyDescent="0.25">
      <c r="B7" t="s">
        <v>193</v>
      </c>
      <c r="C7" s="6">
        <f>'SBI DCF'!C8</f>
        <v>1067.7</v>
      </c>
      <c r="D7" s="6">
        <f>'HDFC DCF'!C8</f>
        <v>727</v>
      </c>
      <c r="E7" s="85" t="s">
        <v>380</v>
      </c>
    </row>
    <row r="8" spans="2:5" x14ac:dyDescent="0.25">
      <c r="B8" t="s">
        <v>381</v>
      </c>
      <c r="C8" s="6">
        <f>'SBI DCF'!C7</f>
        <v>1655.9699745258683</v>
      </c>
      <c r="D8" s="6">
        <f>'HDFC DCF'!C7</f>
        <v>2112.185336028936</v>
      </c>
      <c r="E8" s="85" t="s">
        <v>382</v>
      </c>
    </row>
    <row r="9" spans="2:5" x14ac:dyDescent="0.25">
      <c r="B9" t="s">
        <v>383</v>
      </c>
      <c r="C9" s="70">
        <f>C8/C7-1</f>
        <v>0.55096934956061472</v>
      </c>
      <c r="D9" s="70">
        <f>D8/D7-1</f>
        <v>1.9053443411677251</v>
      </c>
      <c r="E9" s="85" t="s">
        <v>384</v>
      </c>
    </row>
    <row r="10" spans="2:5" x14ac:dyDescent="0.25">
      <c r="B10" t="s">
        <v>385</v>
      </c>
      <c r="C10" s="6">
        <f>'SBI DDM'!C7</f>
        <v>365.61775199676924</v>
      </c>
      <c r="D10" s="6">
        <f>'HDFC DDM'!C7</f>
        <v>214.27548838451634</v>
      </c>
      <c r="E10" s="85" t="s">
        <v>386</v>
      </c>
    </row>
    <row r="11" spans="2:5" x14ac:dyDescent="0.25">
      <c r="B11" t="s">
        <v>387</v>
      </c>
      <c r="C11" s="70">
        <f>'SBI DDM'!C9</f>
        <v>-0.65756509132081176</v>
      </c>
      <c r="D11" s="70">
        <f>'HDFC DDM'!C9</f>
        <v>-0.70526067622487432</v>
      </c>
      <c r="E11" s="85" t="s">
        <v>388</v>
      </c>
    </row>
    <row r="12" spans="2:5" x14ac:dyDescent="0.25">
      <c r="B12" t="s">
        <v>389</v>
      </c>
      <c r="C12" s="6">
        <f>AVERAGE(C8,C10)</f>
        <v>1010.7938632613188</v>
      </c>
      <c r="D12" s="6">
        <f>AVERAGE(D8,D10)</f>
        <v>1163.2304122067262</v>
      </c>
      <c r="E12" s="85" t="s">
        <v>390</v>
      </c>
    </row>
    <row r="13" spans="2:5" x14ac:dyDescent="0.25">
      <c r="E13" s="86"/>
    </row>
    <row r="14" spans="2:5" x14ac:dyDescent="0.25">
      <c r="B14" s="84" t="s">
        <v>391</v>
      </c>
      <c r="E14" s="86"/>
    </row>
    <row r="15" spans="2:5" x14ac:dyDescent="0.25">
      <c r="B15" t="s">
        <v>361</v>
      </c>
      <c r="C15" s="70">
        <f>'SBI DDM'!C11</f>
        <v>9.4646999999999995E-2</v>
      </c>
      <c r="D15" s="70">
        <f>'HDFC DDM'!C11</f>
        <v>9.8301999999999987E-2</v>
      </c>
      <c r="E15" s="85" t="s">
        <v>392</v>
      </c>
    </row>
    <row r="16" spans="2:5" x14ac:dyDescent="0.25">
      <c r="B16" t="s">
        <v>362</v>
      </c>
      <c r="C16" s="70">
        <f>'SBI DDM'!C12</f>
        <v>0.04</v>
      </c>
      <c r="D16" s="70">
        <f>'HDFC DDM'!C12</f>
        <v>0.04</v>
      </c>
      <c r="E16" s="85" t="s">
        <v>393</v>
      </c>
    </row>
    <row r="17" spans="2:5" x14ac:dyDescent="0.25">
      <c r="B17" t="s">
        <v>394</v>
      </c>
      <c r="C17" s="70">
        <f>'SBI DDM'!E19</f>
        <v>0.1703523744652915</v>
      </c>
      <c r="D17" s="70">
        <f>'HDFC DDM'!E19</f>
        <v>0.27235403902113969</v>
      </c>
      <c r="E17" s="85" t="s">
        <v>395</v>
      </c>
    </row>
    <row r="18" spans="2:5" x14ac:dyDescent="0.25">
      <c r="B18" t="s">
        <v>396</v>
      </c>
      <c r="C18" s="6">
        <f>'SBI DDM'!E21</f>
        <v>15.529468111677884</v>
      </c>
      <c r="D18" s="6">
        <f>'HDFC DDM'!E21</f>
        <v>13.421080749970081</v>
      </c>
      <c r="E18" s="85" t="s">
        <v>397</v>
      </c>
    </row>
    <row r="19" spans="2:5" x14ac:dyDescent="0.25">
      <c r="B19" t="s">
        <v>398</v>
      </c>
      <c r="C19" s="6">
        <f>'SBI DDM'!H21</f>
        <v>21.869154810130702</v>
      </c>
      <c r="D19" s="6">
        <f>'HDFC DDM'!H21</f>
        <v>13.595130412127347</v>
      </c>
      <c r="E19" s="85" t="s">
        <v>399</v>
      </c>
    </row>
    <row r="20" spans="2:5" x14ac:dyDescent="0.25">
      <c r="B20" t="s">
        <v>400</v>
      </c>
      <c r="C20" s="6">
        <f>'SBI DDM'!C27</f>
        <v>416.19706484410733</v>
      </c>
      <c r="D20" s="6">
        <f>'HDFC DDM'!C27</f>
        <v>242.51201723118322</v>
      </c>
      <c r="E20" s="85" t="s">
        <v>401</v>
      </c>
    </row>
    <row r="21" spans="2:5" x14ac:dyDescent="0.25">
      <c r="B21" t="s">
        <v>402</v>
      </c>
      <c r="C21" s="6">
        <f>'SBI DDM'!C28</f>
        <v>317.30487137819608</v>
      </c>
      <c r="D21" s="6">
        <f>'HDFC DDM'!C28</f>
        <v>183.04924450958021</v>
      </c>
      <c r="E21" s="85" t="s">
        <v>403</v>
      </c>
    </row>
    <row r="22" spans="2:5" x14ac:dyDescent="0.25">
      <c r="B22" t="s">
        <v>404</v>
      </c>
      <c r="C22" s="6">
        <f>SUM('SBI DDM'!F25:H25)</f>
        <v>48.312880618573161</v>
      </c>
      <c r="D22" s="6">
        <f>SUM('HDFC DDM'!F25:H25)</f>
        <v>31.226243874936142</v>
      </c>
      <c r="E22" s="85" t="s">
        <v>405</v>
      </c>
    </row>
    <row r="24" spans="2:5" x14ac:dyDescent="0.25">
      <c r="B24" s="84" t="s">
        <v>406</v>
      </c>
    </row>
    <row r="25" spans="2:5" ht="72" customHeight="1" x14ac:dyDescent="0.25">
      <c r="B25" s="124" t="s">
        <v>407</v>
      </c>
      <c r="C25" s="124"/>
      <c r="D25" s="124"/>
    </row>
  </sheetData>
  <mergeCells count="4">
    <mergeCell ref="B1:D2"/>
    <mergeCell ref="B3:D3"/>
    <mergeCell ref="B4:D4"/>
    <mergeCell ref="B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SBI IS</vt:lpstr>
      <vt:lpstr>SBI BS</vt:lpstr>
      <vt:lpstr>SBI CF</vt:lpstr>
      <vt:lpstr>SBI IS Forecasting</vt:lpstr>
      <vt:lpstr>SBI BS Forecasting</vt:lpstr>
      <vt:lpstr>SBI CF Forecasting</vt:lpstr>
      <vt:lpstr>HDFC IS</vt:lpstr>
      <vt:lpstr>HDFC BS</vt:lpstr>
      <vt:lpstr>HDFC CF</vt:lpstr>
      <vt:lpstr>Ratio Analysis</vt:lpstr>
      <vt:lpstr>HDFC IS Forecasting</vt:lpstr>
      <vt:lpstr>HDFC BS Forecasting</vt:lpstr>
      <vt:lpstr>HDFC CF Forecasting</vt:lpstr>
      <vt:lpstr>Horizontal Analysis</vt:lpstr>
      <vt:lpstr>Vertical Analysis</vt:lpstr>
      <vt:lpstr>SBI DCF</vt:lpstr>
      <vt:lpstr>HDFC DCF</vt:lpstr>
      <vt:lpstr>SBI DDM</vt:lpstr>
      <vt:lpstr>HDFC DDM</vt:lpstr>
      <vt:lpstr>DDM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ABIRVAB PC</dc:creator>
  <cp:lastModifiedBy>ABIRVAB PC</cp:lastModifiedBy>
  <dcterms:created xsi:type="dcterms:W3CDTF">2015-06-05T18:17:20Z</dcterms:created>
  <dcterms:modified xsi:type="dcterms:W3CDTF">2026-08-17T12:12:28Z</dcterms:modified>
</cp:coreProperties>
</file>