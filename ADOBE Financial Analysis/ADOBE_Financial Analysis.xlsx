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BIRVAB PC\Desktop\Financial Analyst\Projects\"/>
    </mc:Choice>
  </mc:AlternateContent>
  <xr:revisionPtr revIDLastSave="0" documentId="13_ncr:1_{DB3A92D8-E686-4BAC-8D73-1D8424759C22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Income Statement" sheetId="1" r:id="rId1"/>
    <sheet name="Balance Sheet" sheetId="2" r:id="rId2"/>
    <sheet name="Cashflow" sheetId="3" r:id="rId3"/>
    <sheet name="Financial Ratios" sheetId="4" r:id="rId4"/>
    <sheet name="Revenue Forecasting" sheetId="6" r:id="rId5"/>
    <sheet name="Income Statement Forecast" sheetId="5" r:id="rId6"/>
    <sheet name="Balance Sheet Forecast" sheetId="7" r:id="rId7"/>
    <sheet name="Cash Flow Forecast" sheetId="8" r:id="rId8"/>
    <sheet name="Power BI Dashboard" sheetId="10" r:id="rId9"/>
  </sheets>
  <definedNames>
    <definedName name="_xlnm._FilterDatabase" localSheetId="3" hidden="1">'Financial Ratios'!$B$6:$I$27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0" i="8" l="1"/>
  <c r="D10" i="8"/>
  <c r="C10" i="8"/>
  <c r="E13" i="7"/>
  <c r="D13" i="7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E91" i="10"/>
  <c r="E90" i="10"/>
  <c r="E89" i="10"/>
  <c r="E88" i="10"/>
  <c r="E87" i="10"/>
  <c r="E86" i="10"/>
  <c r="E85" i="10"/>
  <c r="E84" i="10"/>
  <c r="E83" i="10"/>
  <c r="E82" i="10"/>
  <c r="E81" i="10"/>
  <c r="E80" i="10"/>
  <c r="E79" i="10"/>
  <c r="E78" i="10"/>
  <c r="E76" i="10"/>
  <c r="E77" i="10"/>
  <c r="E75" i="10"/>
  <c r="E74" i="10"/>
  <c r="E73" i="10"/>
  <c r="E72" i="10"/>
  <c r="E71" i="10"/>
  <c r="E70" i="10"/>
  <c r="E69" i="10"/>
  <c r="E68" i="10"/>
  <c r="E67" i="10"/>
  <c r="E66" i="10"/>
  <c r="E65" i="10"/>
  <c r="E64" i="10"/>
  <c r="E63" i="10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47" i="10"/>
  <c r="E48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4" i="10"/>
  <c r="E3" i="10"/>
  <c r="E2" i="10"/>
  <c r="D19" i="4"/>
  <c r="E19" i="4"/>
  <c r="F19" i="4"/>
  <c r="G19" i="4"/>
  <c r="H19" i="4"/>
  <c r="G13" i="6"/>
  <c r="H7" i="6" s="1"/>
  <c r="I7" i="6" s="1"/>
  <c r="J7" i="6" s="1"/>
  <c r="G14" i="6"/>
  <c r="F20" i="4"/>
  <c r="G20" i="4"/>
  <c r="H20" i="4"/>
  <c r="F21" i="4"/>
  <c r="G21" i="4"/>
  <c r="H21" i="4"/>
  <c r="F22" i="4"/>
  <c r="G22" i="4"/>
  <c r="H22" i="4"/>
  <c r="E22" i="4"/>
  <c r="E21" i="4"/>
  <c r="E20" i="4"/>
  <c r="E23" i="4"/>
  <c r="F23" i="4"/>
  <c r="G23" i="4"/>
  <c r="H23" i="4"/>
  <c r="E24" i="4"/>
  <c r="F24" i="4"/>
  <c r="F25" i="4" s="1"/>
  <c r="G24" i="4"/>
  <c r="G25" i="4" s="1"/>
  <c r="H24" i="4"/>
  <c r="H25" i="4" s="1"/>
  <c r="E25" i="4"/>
  <c r="E26" i="4"/>
  <c r="F26" i="4"/>
  <c r="G26" i="4"/>
  <c r="H26" i="4"/>
  <c r="E27" i="4"/>
  <c r="F27" i="4"/>
  <c r="G27" i="4"/>
  <c r="H27" i="4"/>
  <c r="E15" i="4"/>
  <c r="F15" i="4"/>
  <c r="G15" i="4"/>
  <c r="H15" i="4"/>
  <c r="E16" i="4"/>
  <c r="F16" i="4"/>
  <c r="G16" i="4"/>
  <c r="H16" i="4"/>
  <c r="E17" i="4"/>
  <c r="F17" i="4"/>
  <c r="G17" i="4"/>
  <c r="H17" i="4"/>
  <c r="E18" i="4"/>
  <c r="F18" i="4"/>
  <c r="G18" i="4"/>
  <c r="H18" i="4"/>
  <c r="D27" i="4"/>
  <c r="D26" i="4"/>
  <c r="D25" i="4"/>
  <c r="D24" i="4"/>
  <c r="D23" i="4"/>
  <c r="D18" i="4"/>
  <c r="D17" i="4"/>
  <c r="D16" i="4"/>
  <c r="D15" i="4"/>
  <c r="F14" i="4"/>
  <c r="G14" i="4"/>
  <c r="H14" i="4"/>
  <c r="E14" i="4"/>
  <c r="F13" i="4"/>
  <c r="G13" i="4"/>
  <c r="H13" i="4"/>
  <c r="E13" i="4"/>
  <c r="E12" i="4"/>
  <c r="F12" i="4"/>
  <c r="G12" i="4"/>
  <c r="H12" i="4"/>
  <c r="D12" i="4"/>
  <c r="E11" i="4"/>
  <c r="F11" i="4"/>
  <c r="G11" i="4"/>
  <c r="H11" i="4"/>
  <c r="D11" i="4"/>
  <c r="E10" i="4"/>
  <c r="F10" i="4"/>
  <c r="G10" i="4"/>
  <c r="H10" i="4"/>
  <c r="D10" i="4"/>
  <c r="D9" i="4"/>
  <c r="E9" i="4"/>
  <c r="F9" i="4"/>
  <c r="G9" i="4"/>
  <c r="H9" i="4"/>
  <c r="E8" i="4"/>
  <c r="F8" i="4"/>
  <c r="G8" i="4"/>
  <c r="H8" i="4"/>
  <c r="D8" i="4"/>
  <c r="F7" i="4"/>
  <c r="G7" i="4"/>
  <c r="H7" i="4"/>
  <c r="E7" i="4"/>
  <c r="J12" i="1"/>
  <c r="K12" i="1"/>
  <c r="L12" i="1"/>
  <c r="M12" i="1"/>
  <c r="J13" i="1"/>
  <c r="K13" i="1"/>
  <c r="L13" i="1"/>
  <c r="M13" i="1"/>
  <c r="J14" i="1"/>
  <c r="K14" i="1"/>
  <c r="L14" i="1"/>
  <c r="M14" i="1"/>
  <c r="J15" i="1"/>
  <c r="K15" i="1"/>
  <c r="L15" i="1"/>
  <c r="M15" i="1"/>
  <c r="J8" i="1"/>
  <c r="K8" i="1"/>
  <c r="L8" i="1"/>
  <c r="M8" i="1"/>
  <c r="J9" i="1"/>
  <c r="K9" i="1"/>
  <c r="L9" i="1"/>
  <c r="M9" i="1"/>
  <c r="J11" i="1"/>
  <c r="K11" i="1"/>
  <c r="L11" i="1"/>
  <c r="M11" i="1"/>
  <c r="J17" i="1"/>
  <c r="K17" i="1"/>
  <c r="L17" i="1"/>
  <c r="M17" i="1"/>
  <c r="J19" i="1"/>
  <c r="K19" i="1"/>
  <c r="L19" i="1"/>
  <c r="M19" i="1"/>
  <c r="J20" i="1"/>
  <c r="K20" i="1"/>
  <c r="L20" i="1"/>
  <c r="M20" i="1"/>
  <c r="J21" i="1"/>
  <c r="K21" i="1"/>
  <c r="L21" i="1"/>
  <c r="M21" i="1"/>
  <c r="J23" i="1"/>
  <c r="K23" i="1"/>
  <c r="L23" i="1"/>
  <c r="M23" i="1"/>
  <c r="J24" i="1"/>
  <c r="K24" i="1"/>
  <c r="L24" i="1"/>
  <c r="M24" i="1"/>
  <c r="J25" i="1"/>
  <c r="K25" i="1"/>
  <c r="L25" i="1"/>
  <c r="M25" i="1"/>
  <c r="F29" i="8"/>
  <c r="F27" i="8"/>
  <c r="F22" i="8"/>
  <c r="F11" i="8"/>
  <c r="F9" i="8"/>
  <c r="G26" i="7"/>
  <c r="G25" i="7"/>
  <c r="E24" i="7"/>
  <c r="D24" i="7"/>
  <c r="C24" i="7"/>
  <c r="G21" i="7"/>
  <c r="E20" i="7"/>
  <c r="D20" i="7"/>
  <c r="C20" i="7"/>
  <c r="G19" i="7"/>
  <c r="G14" i="7"/>
  <c r="G13" i="7"/>
  <c r="E12" i="7"/>
  <c r="D12" i="7"/>
  <c r="C12" i="7"/>
  <c r="G8" i="7"/>
  <c r="F14" i="6"/>
  <c r="E14" i="6"/>
  <c r="H8" i="6" s="1"/>
  <c r="I8" i="6" s="1"/>
  <c r="J8" i="6" s="1"/>
  <c r="D14" i="6"/>
  <c r="C14" i="6"/>
  <c r="F13" i="6"/>
  <c r="E13" i="6"/>
  <c r="D13" i="6"/>
  <c r="C13" i="6"/>
  <c r="F12" i="6"/>
  <c r="E12" i="6"/>
  <c r="G12" i="6" s="1"/>
  <c r="H6" i="6" s="1"/>
  <c r="D12" i="6"/>
  <c r="C12" i="6"/>
  <c r="G30" i="5"/>
  <c r="C30" i="5" s="1"/>
  <c r="D30" i="5" s="1"/>
  <c r="E30" i="5" s="1"/>
  <c r="G28" i="5"/>
  <c r="C28" i="5" s="1"/>
  <c r="D28" i="5" s="1"/>
  <c r="E28" i="5" s="1"/>
  <c r="G20" i="5"/>
  <c r="G19" i="5"/>
  <c r="G14" i="5"/>
  <c r="G13" i="5"/>
  <c r="G12" i="5"/>
  <c r="G11" i="5"/>
  <c r="G8" i="5"/>
  <c r="M31" i="2"/>
  <c r="L31" i="2"/>
  <c r="K31" i="2"/>
  <c r="J31" i="2"/>
  <c r="L27" i="2"/>
  <c r="G27" i="2"/>
  <c r="F27" i="2"/>
  <c r="E27" i="2"/>
  <c r="D27" i="2"/>
  <c r="J27" i="2" s="1"/>
  <c r="C27" i="2"/>
  <c r="M26" i="2"/>
  <c r="L26" i="2"/>
  <c r="K26" i="2"/>
  <c r="J26" i="2"/>
  <c r="M25" i="2"/>
  <c r="L25" i="2"/>
  <c r="K25" i="2"/>
  <c r="J25" i="2"/>
  <c r="M24" i="2"/>
  <c r="L24" i="2"/>
  <c r="K24" i="2"/>
  <c r="J24" i="2"/>
  <c r="M22" i="2"/>
  <c r="L22" i="2"/>
  <c r="G22" i="2"/>
  <c r="F22" i="2"/>
  <c r="E22" i="2"/>
  <c r="D22" i="2"/>
  <c r="C22" i="2"/>
  <c r="M21" i="2"/>
  <c r="L21" i="2"/>
  <c r="K21" i="2"/>
  <c r="J21" i="2"/>
  <c r="M20" i="2"/>
  <c r="K20" i="2"/>
  <c r="M19" i="2"/>
  <c r="L19" i="2"/>
  <c r="K19" i="2"/>
  <c r="J19" i="2"/>
  <c r="L15" i="2"/>
  <c r="J15" i="2"/>
  <c r="G15" i="2"/>
  <c r="F15" i="2"/>
  <c r="E15" i="2"/>
  <c r="D15" i="2"/>
  <c r="C15" i="2"/>
  <c r="M14" i="2"/>
  <c r="L14" i="2"/>
  <c r="K14" i="2"/>
  <c r="J14" i="2"/>
  <c r="M13" i="2"/>
  <c r="L13" i="2"/>
  <c r="K13" i="2"/>
  <c r="J13" i="2"/>
  <c r="M12" i="2"/>
  <c r="L12" i="2"/>
  <c r="K12" i="2"/>
  <c r="J12" i="2"/>
  <c r="M11" i="2"/>
  <c r="L11" i="2"/>
  <c r="K11" i="2"/>
  <c r="J11" i="2"/>
  <c r="M8" i="2"/>
  <c r="L8" i="2"/>
  <c r="K8" i="2"/>
  <c r="J8" i="2"/>
  <c r="C33" i="1"/>
  <c r="S24" i="1"/>
  <c r="R24" i="1"/>
  <c r="Q24" i="1"/>
  <c r="P24" i="1"/>
  <c r="O24" i="1"/>
  <c r="G21" i="1"/>
  <c r="S21" i="1" s="1"/>
  <c r="F21" i="1"/>
  <c r="E21" i="1"/>
  <c r="D21" i="1"/>
  <c r="C21" i="1"/>
  <c r="O21" i="1" s="1"/>
  <c r="S20" i="1"/>
  <c r="R20" i="1"/>
  <c r="Q20" i="1"/>
  <c r="P20" i="1"/>
  <c r="O20" i="1"/>
  <c r="S19" i="1"/>
  <c r="R19" i="1"/>
  <c r="Q19" i="1"/>
  <c r="P19" i="1"/>
  <c r="O19" i="1"/>
  <c r="O17" i="1"/>
  <c r="C17" i="1"/>
  <c r="S15" i="1"/>
  <c r="Q15" i="1"/>
  <c r="G15" i="1"/>
  <c r="F15" i="1"/>
  <c r="R15" i="1" s="1"/>
  <c r="E15" i="1"/>
  <c r="D15" i="1"/>
  <c r="P15" i="1" s="1"/>
  <c r="C15" i="1"/>
  <c r="S14" i="1"/>
  <c r="R14" i="1"/>
  <c r="Q14" i="1"/>
  <c r="P14" i="1"/>
  <c r="O14" i="1"/>
  <c r="S13" i="1"/>
  <c r="R13" i="1"/>
  <c r="Q13" i="1"/>
  <c r="P13" i="1"/>
  <c r="O13" i="1"/>
  <c r="S12" i="1"/>
  <c r="R12" i="1"/>
  <c r="Q12" i="1"/>
  <c r="P12" i="1"/>
  <c r="O12" i="1"/>
  <c r="S11" i="1"/>
  <c r="R11" i="1"/>
  <c r="Q11" i="1"/>
  <c r="P11" i="1"/>
  <c r="O11" i="1"/>
  <c r="G9" i="1"/>
  <c r="F9" i="1"/>
  <c r="R9" i="1" s="1"/>
  <c r="E9" i="1"/>
  <c r="E17" i="1" s="1"/>
  <c r="D9" i="1"/>
  <c r="C9" i="1"/>
  <c r="O9" i="1" s="1"/>
  <c r="S8" i="1"/>
  <c r="R8" i="1"/>
  <c r="Q8" i="1"/>
  <c r="P8" i="1"/>
  <c r="O8" i="1"/>
  <c r="S7" i="1"/>
  <c r="R7" i="1"/>
  <c r="Q7" i="1"/>
  <c r="P7" i="1"/>
  <c r="O7" i="1"/>
  <c r="M7" i="1"/>
  <c r="L7" i="1"/>
  <c r="K7" i="1"/>
  <c r="J7" i="1"/>
  <c r="S27" i="3"/>
  <c r="R27" i="3"/>
  <c r="Q27" i="3"/>
  <c r="P27" i="3"/>
  <c r="O27" i="3"/>
  <c r="M27" i="3"/>
  <c r="L27" i="3"/>
  <c r="K27" i="3"/>
  <c r="J27" i="3"/>
  <c r="S25" i="3"/>
  <c r="R25" i="3"/>
  <c r="Q25" i="3"/>
  <c r="P25" i="3"/>
  <c r="O25" i="3"/>
  <c r="M25" i="3"/>
  <c r="L25" i="3"/>
  <c r="K25" i="3"/>
  <c r="J25" i="3"/>
  <c r="G22" i="3"/>
  <c r="F22" i="3"/>
  <c r="E22" i="3"/>
  <c r="Q22" i="3" s="1"/>
  <c r="D22" i="3"/>
  <c r="J22" i="3" s="1"/>
  <c r="C22" i="3"/>
  <c r="O22" i="3" s="1"/>
  <c r="S21" i="3"/>
  <c r="R21" i="3"/>
  <c r="Q21" i="3"/>
  <c r="P21" i="3"/>
  <c r="O21" i="3"/>
  <c r="M21" i="3"/>
  <c r="L21" i="3"/>
  <c r="K21" i="3"/>
  <c r="J21" i="3"/>
  <c r="S20" i="3"/>
  <c r="R20" i="3"/>
  <c r="Q20" i="3"/>
  <c r="P20" i="3"/>
  <c r="O20" i="3"/>
  <c r="M20" i="3"/>
  <c r="L20" i="3"/>
  <c r="K20" i="3"/>
  <c r="J20" i="3"/>
  <c r="G17" i="3"/>
  <c r="F17" i="3"/>
  <c r="E17" i="3"/>
  <c r="Q17" i="3" s="1"/>
  <c r="D17" i="3"/>
  <c r="C17" i="3"/>
  <c r="O17" i="3" s="1"/>
  <c r="S16" i="3"/>
  <c r="R16" i="3"/>
  <c r="Q16" i="3"/>
  <c r="P16" i="3"/>
  <c r="O16" i="3"/>
  <c r="M16" i="3"/>
  <c r="L16" i="3"/>
  <c r="K16" i="3"/>
  <c r="J16" i="3"/>
  <c r="S15" i="3"/>
  <c r="R15" i="3"/>
  <c r="Q15" i="3"/>
  <c r="P15" i="3"/>
  <c r="O15" i="3"/>
  <c r="M15" i="3"/>
  <c r="L15" i="3"/>
  <c r="K15" i="3"/>
  <c r="J15" i="3"/>
  <c r="S11" i="3"/>
  <c r="R11" i="3"/>
  <c r="Q11" i="3"/>
  <c r="P11" i="3"/>
  <c r="O11" i="3"/>
  <c r="M11" i="3"/>
  <c r="L11" i="3"/>
  <c r="K11" i="3"/>
  <c r="J11" i="3"/>
  <c r="S10" i="3"/>
  <c r="R10" i="3"/>
  <c r="Q10" i="3"/>
  <c r="P10" i="3"/>
  <c r="O10" i="3"/>
  <c r="M10" i="3"/>
  <c r="L10" i="3"/>
  <c r="K10" i="3"/>
  <c r="J10" i="3"/>
  <c r="S9" i="3"/>
  <c r="R9" i="3"/>
  <c r="Q9" i="3"/>
  <c r="P9" i="3"/>
  <c r="O9" i="3"/>
  <c r="M9" i="3"/>
  <c r="L9" i="3"/>
  <c r="K9" i="3"/>
  <c r="J9" i="3"/>
  <c r="M17" i="3" l="1"/>
  <c r="C28" i="8"/>
  <c r="E28" i="8"/>
  <c r="J17" i="3"/>
  <c r="M22" i="3"/>
  <c r="L17" i="3"/>
  <c r="L22" i="3"/>
  <c r="P17" i="3"/>
  <c r="P22" i="3"/>
  <c r="E23" i="1"/>
  <c r="E33" i="1"/>
  <c r="E34" i="1"/>
  <c r="Q17" i="1"/>
  <c r="C7" i="5"/>
  <c r="I6" i="6"/>
  <c r="R17" i="3"/>
  <c r="C23" i="1"/>
  <c r="P21" i="1"/>
  <c r="D28" i="8"/>
  <c r="S17" i="3"/>
  <c r="S22" i="3"/>
  <c r="D17" i="1"/>
  <c r="Q21" i="1"/>
  <c r="M15" i="2"/>
  <c r="R22" i="3"/>
  <c r="K17" i="3"/>
  <c r="K22" i="3"/>
  <c r="R21" i="1"/>
  <c r="C34" i="1"/>
  <c r="E29" i="2"/>
  <c r="K22" i="2"/>
  <c r="C29" i="2"/>
  <c r="P9" i="1"/>
  <c r="F17" i="1"/>
  <c r="D29" i="2"/>
  <c r="S9" i="1"/>
  <c r="Q9" i="1"/>
  <c r="O15" i="1"/>
  <c r="G17" i="1"/>
  <c r="K15" i="2"/>
  <c r="M27" i="2"/>
  <c r="F29" i="2"/>
  <c r="C13" i="7"/>
  <c r="J22" i="2"/>
  <c r="K27" i="2"/>
  <c r="G29" i="2"/>
  <c r="D33" i="1" l="1"/>
  <c r="D23" i="1"/>
  <c r="D34" i="1"/>
  <c r="P17" i="1"/>
  <c r="J6" i="6"/>
  <c r="E7" i="5" s="1"/>
  <c r="D7" i="5"/>
  <c r="O23" i="1"/>
  <c r="C25" i="1"/>
  <c r="G33" i="2"/>
  <c r="M29" i="2"/>
  <c r="J29" i="2"/>
  <c r="D33" i="2"/>
  <c r="C22" i="8"/>
  <c r="C9" i="8"/>
  <c r="C29" i="8"/>
  <c r="C25" i="7"/>
  <c r="C13" i="5"/>
  <c r="C11" i="5"/>
  <c r="C14" i="7"/>
  <c r="C17" i="8" s="1"/>
  <c r="C11" i="8"/>
  <c r="C26" i="7"/>
  <c r="C18" i="8" s="1"/>
  <c r="C27" i="8"/>
  <c r="C21" i="7"/>
  <c r="C15" i="8" s="1"/>
  <c r="C8" i="7"/>
  <c r="C13" i="8" s="1"/>
  <c r="C19" i="7"/>
  <c r="C19" i="5"/>
  <c r="C12" i="5"/>
  <c r="C8" i="5"/>
  <c r="C9" i="5" s="1"/>
  <c r="C20" i="5"/>
  <c r="C14" i="5"/>
  <c r="F33" i="2"/>
  <c r="L29" i="2"/>
  <c r="Q23" i="1"/>
  <c r="E25" i="1"/>
  <c r="C33" i="2"/>
  <c r="E33" i="2"/>
  <c r="K29" i="2"/>
  <c r="G34" i="1"/>
  <c r="G23" i="1"/>
  <c r="S17" i="1"/>
  <c r="G33" i="1"/>
  <c r="F34" i="1"/>
  <c r="F23" i="1"/>
  <c r="R17" i="1"/>
  <c r="F33" i="1"/>
  <c r="C30" i="8" l="1"/>
  <c r="C22" i="7"/>
  <c r="C14" i="8"/>
  <c r="C15" i="5"/>
  <c r="K33" i="2"/>
  <c r="L33" i="2"/>
  <c r="C27" i="7"/>
  <c r="C16" i="8"/>
  <c r="M33" i="2"/>
  <c r="D25" i="1"/>
  <c r="P23" i="1"/>
  <c r="C21" i="5"/>
  <c r="O25" i="1"/>
  <c r="C27" i="1"/>
  <c r="C8" i="3"/>
  <c r="C29" i="1"/>
  <c r="C11" i="7"/>
  <c r="C24" i="8"/>
  <c r="E8" i="3"/>
  <c r="E29" i="1"/>
  <c r="Q25" i="1"/>
  <c r="E27" i="1"/>
  <c r="C17" i="5"/>
  <c r="J33" i="2"/>
  <c r="D22" i="8"/>
  <c r="D9" i="8"/>
  <c r="D20" i="5"/>
  <c r="D27" i="8"/>
  <c r="D11" i="8"/>
  <c r="D19" i="7"/>
  <c r="D26" i="7"/>
  <c r="D18" i="8" s="1"/>
  <c r="D8" i="7"/>
  <c r="D13" i="8" s="1"/>
  <c r="D14" i="5"/>
  <c r="D12" i="5"/>
  <c r="D21" i="7"/>
  <c r="D15" i="8" s="1"/>
  <c r="D13" i="5"/>
  <c r="D25" i="7"/>
  <c r="D8" i="5"/>
  <c r="D9" i="5" s="1"/>
  <c r="D29" i="8"/>
  <c r="D14" i="7"/>
  <c r="D17" i="8" s="1"/>
  <c r="D19" i="5"/>
  <c r="D11" i="5"/>
  <c r="F25" i="1"/>
  <c r="R23" i="1"/>
  <c r="G24" i="5"/>
  <c r="G25" i="1"/>
  <c r="S23" i="1"/>
  <c r="E27" i="8"/>
  <c r="E11" i="8"/>
  <c r="E8" i="5"/>
  <c r="E9" i="5" s="1"/>
  <c r="E29" i="8"/>
  <c r="E25" i="7"/>
  <c r="E21" i="7"/>
  <c r="E19" i="5"/>
  <c r="E8" i="7"/>
  <c r="E12" i="5"/>
  <c r="E19" i="7"/>
  <c r="E22" i="8"/>
  <c r="E20" i="5"/>
  <c r="E9" i="8"/>
  <c r="E14" i="5"/>
  <c r="E14" i="7"/>
  <c r="E11" i="5"/>
  <c r="E26" i="7"/>
  <c r="E13" i="5"/>
  <c r="E15" i="8" l="1"/>
  <c r="E17" i="8"/>
  <c r="E18" i="8"/>
  <c r="D16" i="8"/>
  <c r="D27" i="7"/>
  <c r="D22" i="7"/>
  <c r="D14" i="8"/>
  <c r="C23" i="5"/>
  <c r="D8" i="3"/>
  <c r="K8" i="3" s="1"/>
  <c r="D27" i="1"/>
  <c r="D29" i="1"/>
  <c r="P25" i="1"/>
  <c r="E15" i="5"/>
  <c r="E17" i="5" s="1"/>
  <c r="E30" i="8"/>
  <c r="C12" i="3"/>
  <c r="O8" i="3"/>
  <c r="E24" i="8"/>
  <c r="E14" i="8"/>
  <c r="E22" i="7"/>
  <c r="E13" i="8"/>
  <c r="D15" i="5"/>
  <c r="D17" i="5" s="1"/>
  <c r="D21" i="5"/>
  <c r="E12" i="3"/>
  <c r="Q8" i="3"/>
  <c r="F27" i="1"/>
  <c r="F29" i="1"/>
  <c r="R25" i="1"/>
  <c r="F8" i="3"/>
  <c r="D30" i="8"/>
  <c r="E21" i="5"/>
  <c r="E16" i="8"/>
  <c r="E27" i="7"/>
  <c r="G29" i="1"/>
  <c r="S25" i="1"/>
  <c r="G8" i="3"/>
  <c r="G27" i="1"/>
  <c r="D24" i="8"/>
  <c r="C15" i="7"/>
  <c r="D11" i="7"/>
  <c r="C29" i="7"/>
  <c r="D29" i="7" l="1"/>
  <c r="E29" i="7"/>
  <c r="E23" i="5"/>
  <c r="D23" i="5"/>
  <c r="R8" i="3"/>
  <c r="L8" i="3"/>
  <c r="F12" i="3"/>
  <c r="O12" i="3"/>
  <c r="C26" i="3"/>
  <c r="D12" i="3"/>
  <c r="K12" i="3" s="1"/>
  <c r="P8" i="3"/>
  <c r="J8" i="3"/>
  <c r="E26" i="3"/>
  <c r="Q12" i="3"/>
  <c r="G12" i="3"/>
  <c r="M8" i="3"/>
  <c r="S8" i="3"/>
  <c r="E11" i="7"/>
  <c r="E15" i="7" s="1"/>
  <c r="D15" i="7"/>
  <c r="C24" i="5"/>
  <c r="C25" i="5" s="1"/>
  <c r="C27" i="5" l="1"/>
  <c r="C8" i="8"/>
  <c r="C19" i="8" s="1"/>
  <c r="C34" i="8" s="1"/>
  <c r="C36" i="8" s="1"/>
  <c r="C31" i="7"/>
  <c r="C29" i="5"/>
  <c r="O26" i="3"/>
  <c r="C28" i="3"/>
  <c r="D24" i="5"/>
  <c r="D25" i="5" s="1"/>
  <c r="Q26" i="3"/>
  <c r="E28" i="3"/>
  <c r="F26" i="3"/>
  <c r="L12" i="3"/>
  <c r="R12" i="3"/>
  <c r="M12" i="3"/>
  <c r="G26" i="3"/>
  <c r="S12" i="3"/>
  <c r="D26" i="3"/>
  <c r="P12" i="3"/>
  <c r="J12" i="3"/>
  <c r="E24" i="5"/>
  <c r="E25" i="5" s="1"/>
  <c r="P26" i="3" l="1"/>
  <c r="D28" i="3"/>
  <c r="J26" i="3"/>
  <c r="C7" i="2"/>
  <c r="O28" i="3"/>
  <c r="K26" i="3"/>
  <c r="D31" i="7"/>
  <c r="C33" i="7"/>
  <c r="F28" i="3"/>
  <c r="R26" i="3"/>
  <c r="L26" i="3"/>
  <c r="E7" i="2"/>
  <c r="Q28" i="3"/>
  <c r="K28" i="3"/>
  <c r="D35" i="8"/>
  <c r="C7" i="7"/>
  <c r="C9" i="7" s="1"/>
  <c r="C17" i="7" s="1"/>
  <c r="D29" i="5"/>
  <c r="D8" i="8"/>
  <c r="D19" i="8" s="1"/>
  <c r="D34" i="8" s="1"/>
  <c r="D27" i="5"/>
  <c r="E27" i="5"/>
  <c r="E29" i="5"/>
  <c r="E8" i="8"/>
  <c r="E19" i="8" s="1"/>
  <c r="E34" i="8" s="1"/>
  <c r="M26" i="3"/>
  <c r="S26" i="3"/>
  <c r="G28" i="3"/>
  <c r="C9" i="2" l="1"/>
  <c r="E31" i="7"/>
  <c r="E33" i="7" s="1"/>
  <c r="D33" i="7"/>
  <c r="D36" i="8"/>
  <c r="E9" i="2"/>
  <c r="R28" i="3"/>
  <c r="L28" i="3"/>
  <c r="F7" i="2"/>
  <c r="G7" i="2"/>
  <c r="M28" i="3"/>
  <c r="S28" i="3"/>
  <c r="P28" i="3"/>
  <c r="J28" i="3"/>
  <c r="D7" i="2"/>
  <c r="C35" i="7"/>
  <c r="E35" i="8" l="1"/>
  <c r="E36" i="8" s="1"/>
  <c r="E7" i="7" s="1"/>
  <c r="E9" i="7" s="1"/>
  <c r="E17" i="7" s="1"/>
  <c r="E35" i="7" s="1"/>
  <c r="D7" i="7"/>
  <c r="D9" i="7" s="1"/>
  <c r="D17" i="7" s="1"/>
  <c r="D35" i="7" s="1"/>
  <c r="D9" i="2"/>
  <c r="K9" i="2" s="1"/>
  <c r="J7" i="2"/>
  <c r="E17" i="2"/>
  <c r="Q9" i="2" s="1"/>
  <c r="K7" i="2"/>
  <c r="C17" i="2"/>
  <c r="O9" i="2" s="1"/>
  <c r="F9" i="2"/>
  <c r="L7" i="2"/>
  <c r="M7" i="2"/>
  <c r="G9" i="2"/>
  <c r="M9" i="2" l="1"/>
  <c r="G17" i="2"/>
  <c r="F17" i="2"/>
  <c r="R9" i="2" s="1"/>
  <c r="L9" i="2"/>
  <c r="J9" i="2"/>
  <c r="D17" i="2"/>
  <c r="P9" i="2" s="1"/>
  <c r="O26" i="2"/>
  <c r="O12" i="2"/>
  <c r="O8" i="2"/>
  <c r="O31" i="2"/>
  <c r="O14" i="2"/>
  <c r="O21" i="2"/>
  <c r="O27" i="2"/>
  <c r="O20" i="2"/>
  <c r="O17" i="2"/>
  <c r="O11" i="2"/>
  <c r="O25" i="2"/>
  <c r="O19" i="2"/>
  <c r="O24" i="2"/>
  <c r="O13" i="2"/>
  <c r="O15" i="2"/>
  <c r="O22" i="2"/>
  <c r="O29" i="2"/>
  <c r="O33" i="2"/>
  <c r="O7" i="2"/>
  <c r="Q24" i="2"/>
  <c r="Q20" i="2"/>
  <c r="Q17" i="2"/>
  <c r="Q26" i="2"/>
  <c r="Q12" i="2"/>
  <c r="Q8" i="2"/>
  <c r="Q21" i="2"/>
  <c r="Q11" i="2"/>
  <c r="Q19" i="2"/>
  <c r="Q13" i="2"/>
  <c r="Q25" i="2"/>
  <c r="Q31" i="2"/>
  <c r="Q14" i="2"/>
  <c r="Q22" i="2"/>
  <c r="Q15" i="2"/>
  <c r="Q27" i="2"/>
  <c r="Q29" i="2"/>
  <c r="Q33" i="2"/>
  <c r="Q7" i="2"/>
  <c r="K17" i="2" l="1"/>
  <c r="R31" i="2"/>
  <c r="R14" i="2"/>
  <c r="R25" i="2"/>
  <c r="R21" i="2"/>
  <c r="R19" i="2"/>
  <c r="R11" i="2"/>
  <c r="R17" i="2"/>
  <c r="R8" i="2"/>
  <c r="R15" i="2"/>
  <c r="R13" i="2"/>
  <c r="R12" i="2"/>
  <c r="R26" i="2"/>
  <c r="R27" i="2"/>
  <c r="R24" i="2"/>
  <c r="L17" i="2"/>
  <c r="R20" i="2"/>
  <c r="R22" i="2"/>
  <c r="R29" i="2"/>
  <c r="R33" i="2"/>
  <c r="R7" i="2"/>
  <c r="M17" i="2"/>
  <c r="S13" i="2"/>
  <c r="S24" i="2"/>
  <c r="S20" i="2"/>
  <c r="S17" i="2"/>
  <c r="S8" i="2"/>
  <c r="S11" i="2"/>
  <c r="S21" i="2"/>
  <c r="S19" i="2"/>
  <c r="S12" i="2"/>
  <c r="S22" i="2"/>
  <c r="S31" i="2"/>
  <c r="S14" i="2"/>
  <c r="S26" i="2"/>
  <c r="S25" i="2"/>
  <c r="S27" i="2"/>
  <c r="S15" i="2"/>
  <c r="S29" i="2"/>
  <c r="S33" i="2"/>
  <c r="S7" i="2"/>
  <c r="P25" i="2"/>
  <c r="P21" i="2"/>
  <c r="P19" i="2"/>
  <c r="P11" i="2"/>
  <c r="J17" i="2"/>
  <c r="P13" i="2"/>
  <c r="P26" i="2"/>
  <c r="P17" i="2"/>
  <c r="P8" i="2"/>
  <c r="P15" i="2"/>
  <c r="P12" i="2"/>
  <c r="P31" i="2"/>
  <c r="P20" i="2"/>
  <c r="P27" i="2"/>
  <c r="P24" i="2"/>
  <c r="P22" i="2"/>
  <c r="P14" i="2"/>
  <c r="P29" i="2"/>
  <c r="P33" i="2"/>
  <c r="P7" i="2"/>
  <c r="S9" i="2"/>
</calcChain>
</file>

<file path=xl/sharedStrings.xml><?xml version="1.0" encoding="utf-8"?>
<sst xmlns="http://schemas.openxmlformats.org/spreadsheetml/2006/main" count="574" uniqueCount="181">
  <si>
    <t>ADOBE INC.</t>
  </si>
  <si>
    <t>Horizontal Analysis</t>
  </si>
  <si>
    <t>Vertical Analysis</t>
  </si>
  <si>
    <t>Revenue</t>
  </si>
  <si>
    <t>-</t>
  </si>
  <si>
    <t>Cost of Goods Sold</t>
  </si>
  <si>
    <t>Gross Profit</t>
  </si>
  <si>
    <t>Research and Administrative</t>
  </si>
  <si>
    <t>Sales and Marketing</t>
  </si>
  <si>
    <t>General and Administrative</t>
  </si>
  <si>
    <t>Other Operating Expenses</t>
  </si>
  <si>
    <t>Operating Expenses</t>
  </si>
  <si>
    <t>Operating Income</t>
  </si>
  <si>
    <t>Interest Expense</t>
  </si>
  <si>
    <t>Other non-operating income</t>
  </si>
  <si>
    <t>Non-Operating Income</t>
  </si>
  <si>
    <t>Pretax Income</t>
  </si>
  <si>
    <t>Income Tax</t>
  </si>
  <si>
    <t>Net Income</t>
  </si>
  <si>
    <t>Basic EPS</t>
  </si>
  <si>
    <t>Basic Share</t>
  </si>
  <si>
    <t>Diluted EPS</t>
  </si>
  <si>
    <t>Diluted Share</t>
  </si>
  <si>
    <t>EBIT</t>
  </si>
  <si>
    <t>EBITDA</t>
  </si>
  <si>
    <t>Cash and Cash Equivalents</t>
  </si>
  <si>
    <t>Other Current Assets</t>
  </si>
  <si>
    <t>Total Current Assets</t>
  </si>
  <si>
    <t>Property Plant and Equipment</t>
  </si>
  <si>
    <t>Goodwill</t>
  </si>
  <si>
    <t>Other Intangible Assets</t>
  </si>
  <si>
    <t>Other Non-Current Assets</t>
  </si>
  <si>
    <t>Total Non-Current Assets</t>
  </si>
  <si>
    <t>Total Assets</t>
  </si>
  <si>
    <t>Trade payables</t>
  </si>
  <si>
    <t>Current Debt</t>
  </si>
  <si>
    <t>Other Current Liabilities</t>
  </si>
  <si>
    <t>Total Current Liabilities</t>
  </si>
  <si>
    <t>Long - term Debt</t>
  </si>
  <si>
    <t>Income Taxes Payable</t>
  </si>
  <si>
    <t>Other Non-Current Liabilities</t>
  </si>
  <si>
    <t>Total Non Current Liabilities</t>
  </si>
  <si>
    <t>Total Liabilities</t>
  </si>
  <si>
    <t>Stockholder's Equity</t>
  </si>
  <si>
    <t xml:space="preserve">Total liabilities and stockholders’ equity </t>
  </si>
  <si>
    <t>Cash flows from operating activities:</t>
  </si>
  <si>
    <t>Net income</t>
  </si>
  <si>
    <t>Depreciation, amortization and accretion</t>
  </si>
  <si>
    <t>Stock-based compensation</t>
  </si>
  <si>
    <t>Other Operating activities</t>
  </si>
  <si>
    <t>Net cash provided by operating activities</t>
  </si>
  <si>
    <t>Cash flows from investing activities:</t>
  </si>
  <si>
    <t>Purchases of property and equipment (CapEx)</t>
  </si>
  <si>
    <t>Other Investing Activities</t>
  </si>
  <si>
    <t>Net cash provided by (used for) investing activities</t>
  </si>
  <si>
    <t>Cash flows from financing activities:</t>
  </si>
  <si>
    <t>Repurchases of common stock</t>
  </si>
  <si>
    <t>Other Financing Activities</t>
  </si>
  <si>
    <t>Net cash used for financing activities</t>
  </si>
  <si>
    <t>Cash position:</t>
  </si>
  <si>
    <t>Foreign Exchange</t>
  </si>
  <si>
    <t>Net Change in Cash</t>
  </si>
  <si>
    <t>Cash and cash equivalents at beginning of year</t>
  </si>
  <si>
    <t>Cash and cash equivalents at end of year</t>
  </si>
  <si>
    <t>Line Items</t>
  </si>
  <si>
    <t>Revenue Growth</t>
  </si>
  <si>
    <t>Gross Margin</t>
  </si>
  <si>
    <t>EBITDA Margin</t>
  </si>
  <si>
    <t>EBIT Margin</t>
  </si>
  <si>
    <t>Net Income Margin</t>
  </si>
  <si>
    <t>Operating Expense Margin</t>
  </si>
  <si>
    <t>Return On Assets</t>
  </si>
  <si>
    <t>Return On Equity</t>
  </si>
  <si>
    <t>Debt-To-Equity</t>
  </si>
  <si>
    <t>Debt-To-Assets</t>
  </si>
  <si>
    <t>Debt-To-Capital</t>
  </si>
  <si>
    <t>Net Debt</t>
  </si>
  <si>
    <t>Interest Coverage</t>
  </si>
  <si>
    <t>Asset Turnover</t>
  </si>
  <si>
    <t>Fixed Asset Turnover</t>
  </si>
  <si>
    <t>Working Capital Turnover</t>
  </si>
  <si>
    <t>Operating Cash Flow Margin</t>
  </si>
  <si>
    <t>Free Cash Flow</t>
  </si>
  <si>
    <t>Free Cash Flow Margin</t>
  </si>
  <si>
    <t>Cash Conversion Ratio</t>
  </si>
  <si>
    <t>CapEx Ratio</t>
  </si>
  <si>
    <t>Income Statement Forecast (2026-2028)</t>
  </si>
  <si>
    <t>Line Item</t>
  </si>
  <si>
    <t>Basis</t>
  </si>
  <si>
    <t>Sum of 3 segment forecasts from Revenue Forecasting tab</t>
  </si>
  <si>
    <t>% of Revenue, avg of FY2024-FY2025 actuals</t>
  </si>
  <si>
    <t>Effective tax rate, avg of FY2024-FY2025 actuals</t>
  </si>
  <si>
    <t>Basic Shares</t>
  </si>
  <si>
    <t>Avg annual share-count change, FY2024-FY2025 (buyback trend)</t>
  </si>
  <si>
    <t>Diluted Shares</t>
  </si>
  <si>
    <t>Methodology:</t>
  </si>
  <si>
    <t>Revenue is pulled from the Revenue Forecasting tab. All margin/expense lines are forecast as a % of revenue using the average of the last 2 actual years (FY2024-FY2025), so the model reflects recent trend rather than a 5-year blend. Share counts continue the recent annual buyback-driven decline.</t>
  </si>
  <si>
    <t>Segments</t>
  </si>
  <si>
    <t>Digital Media</t>
  </si>
  <si>
    <t>Digital Experience</t>
  </si>
  <si>
    <t>Publishing and Advertising</t>
  </si>
  <si>
    <t>YoY Growth Rate Assumptions</t>
  </si>
  <si>
    <t>Avg Growth (Last 2 Yrs)</t>
  </si>
  <si>
    <t>2026-2028 revenue = prior year x (1 + average YoY growth rate of 2024 and 2025). Recent 2-year average used instead of full 5-year CAGR so the forecast reflects current momentum (e.g., Publishing &amp; Advertising's decline has been decelerating, not constant).</t>
  </si>
  <si>
    <t>Linked from Cash Flow Forecast ending cash (model output, not independently assumed)</t>
  </si>
  <si>
    <t>Roll-forward: prior PP&amp;E + CapEx - Depreciation of PP&amp;E (both from Cash Flow Forecast)</t>
  </si>
  <si>
    <t>Held flat at FY2025 actual (no assumed M&amp;A)</t>
  </si>
  <si>
    <t>Continues avg $ decline of FY2024-FY2025 (amortization); offset in Cash Flow Forecast row 10</t>
  </si>
  <si>
    <t>Held flat at FY2025 actual (no known near-term refinancing)</t>
  </si>
  <si>
    <t>Roll-forward: prior equity + Net Income + Stock Comp + Buybacks + Other Financing</t>
  </si>
  <si>
    <t>Total liabilities and stockholders’ equity</t>
  </si>
  <si>
    <t>Balance Check (Total Assets − Total Liab. &amp; Equity)</t>
  </si>
  <si>
    <t>Should equal 0 - confirms the three statements are fully linked and balanced</t>
  </si>
  <si>
    <t>Every balance sheet line is forecast independently (mostly as % of revenue, avg FY2024-FY2025), except Cash, which is the linked output of the Cash Flow Forecast, and PP&amp;E / Equity, which roll forward period-to-period. Because the Cash Flow Forecast's working-capital lines are built directly from the deltas in these balance sheet items, Total Assets ties to Total Liabilities &amp; Equity by construction (see Balance Check row).</t>
  </si>
  <si>
    <t>Depreciation of PP&amp;E</t>
  </si>
  <si>
    <t>Total D&amp;A % of Revenue (avg FY24-25) less intangible amortization (row 10)</t>
  </si>
  <si>
    <t>Amortization of Intangible Assets</t>
  </si>
  <si>
    <t>Offsets the annual decline in Other Intangible Assets on Balance Sheet Forecast</t>
  </si>
  <si>
    <t>Assumed to normalize to zero (historically volatile, non-recurring item)</t>
  </si>
  <si>
    <t>Change in Other Current Assets</t>
  </si>
  <si>
    <t>Increase in asset = use of cash (derived from Balance Sheet Forecast)</t>
  </si>
  <si>
    <t>Change in Trade Payables</t>
  </si>
  <si>
    <t>Increase in liability = source of cash</t>
  </si>
  <si>
    <t>Change in Other Current Liabilities</t>
  </si>
  <si>
    <t>Change in Income Taxes Payable</t>
  </si>
  <si>
    <t>Change in Other Non-Current Assets</t>
  </si>
  <si>
    <t>Increase in asset = use of cash</t>
  </si>
  <si>
    <t>Change in Other Non-Current Liabilities</t>
  </si>
  <si>
    <t>% of Revenue, avg of FY2024-FY2025 actuals (negative = cash outflow)</t>
  </si>
  <si>
    <t>Net Debt Issuance / (Repayment)</t>
  </si>
  <si>
    <t>Change in Current + Long-term Debt (both held flat in Balance Sheet Forecast)</t>
  </si>
  <si>
    <t>Assumed immaterial / zero</t>
  </si>
  <si>
    <t>FY2025 actual ending cash (Balance Sheet / Cash Flow tab) — hardcoded to avoid a pre-existing broken XLOOKUP chain in those tabs</t>
  </si>
  <si>
    <t>Built with the indirect method, fully linked to the Balance Sheet Forecast: every working-capital line here is the year-over-year change in the corresponding Balance Sheet Forecast item, so operating cash flow reflects real balance-sheet movement rather than a standalone assumption. PP&amp;E depreciation and CapEx tie directly into the PP&amp;E roll-forward on the Balance Sheet Forecast; ending cash here is the figure that appears as Cash on the Balance Sheet Forecast.</t>
  </si>
  <si>
    <t>Assumption</t>
  </si>
  <si>
    <t>Value</t>
  </si>
  <si>
    <t>Category</t>
  </si>
  <si>
    <t>Ratios</t>
  </si>
  <si>
    <t>Year</t>
  </si>
  <si>
    <t>Profitability</t>
  </si>
  <si>
    <t>Return Ratios</t>
  </si>
  <si>
    <t>Leverage Ratio</t>
  </si>
  <si>
    <t>Efficiency Ratio</t>
  </si>
  <si>
    <t>Cash Flow Ratios</t>
  </si>
  <si>
    <t>S</t>
  </si>
  <si>
    <t>USD ($ millions)</t>
  </si>
  <si>
    <t>in Percentage (%)</t>
  </si>
  <si>
    <t>Profitability Ratios</t>
  </si>
  <si>
    <t>RATIO ANALYSIS</t>
  </si>
  <si>
    <t>Leverage Ratios</t>
  </si>
  <si>
    <t>Efficiency Ratios</t>
  </si>
  <si>
    <t>CapEX Ratio</t>
  </si>
  <si>
    <t>USD ($ millions) or in Percentage (%) or in Ratio</t>
  </si>
  <si>
    <t>Revenue Forecasting Based On Segments (2021 - 2028)</t>
  </si>
  <si>
    <t>Analysis</t>
  </si>
  <si>
    <t>Revenue growth remained consistently around 10%, indicating stable business expansion.</t>
  </si>
  <si>
    <t>Gross margin stayed above 87%, reflecting strong pricing power and cost efficiency.</t>
  </si>
  <si>
    <t>EBITDA margin remained healthy despite fluctuations, demonstrating strong operating cash profitability.</t>
  </si>
  <si>
    <t>EBIT margin recovered in 2025 after a temporary decline in 2024.</t>
  </si>
  <si>
    <t>Net profit margin rebounded to 30.0% in 2025, indicating improved profitability.</t>
  </si>
  <si>
    <t>Operating expenses remained relatively stable as a percentage of revenue over the period.</t>
  </si>
  <si>
    <t>ROA improved steadily, reflecting more efficient utilization of company assets.</t>
  </si>
  <si>
    <t>ROE increased significantly, demonstrating stronger returns generated for shareholders.</t>
  </si>
  <si>
    <t>Debt-to-equity increased in recent years, indicating higher financial leverage.</t>
  </si>
  <si>
    <t>Debt financed a larger portion of assets in 2024–2025, increasing leverage.</t>
  </si>
  <si>
    <t>Debt-to-capital rose over time, reflecting greater reliance on debt financing.</t>
  </si>
  <si>
    <t>Net debt remained low and turned negative in several years, indicating a strong cash position.</t>
  </si>
  <si>
    <t>High interest coverage indicates excellent ability to meet interest obligations despite recent decline.</t>
  </si>
  <si>
    <t>Asset turnover gradually improved, showing increased efficiency in generating revenue from assets.</t>
  </si>
  <si>
    <t>Fixed asset turnover remained strong, reflecting efficient utilization of fixed assets.</t>
  </si>
  <si>
    <t>Working capital turnover fluctuated significantly, suggesting changing working capital efficiency.</t>
  </si>
  <si>
    <t>Operating cash flow margin remained robust, demonstrating strong cash generation from operations.</t>
  </si>
  <si>
    <t>Free cash flow increased overall, supporting investment capacity and shareholder returns.</t>
  </si>
  <si>
    <t>Free cash flow margin remained consistently above 35%, reflecting healthy cash profitability.</t>
  </si>
  <si>
    <t>Cash conversion ratio stayed above 1.0, indicating earnings translated well into operating cash flow.</t>
  </si>
  <si>
    <t>CapEx ratio declined over time, suggesting lower capital investment relative to revenue.</t>
  </si>
  <si>
    <t>Cash Flow Forecast (2026-2028)</t>
  </si>
  <si>
    <t>Balance Sheet Forecast (2026-2028)</t>
  </si>
  <si>
    <t>Cash Flow (2021 - 2025)</t>
  </si>
  <si>
    <t>Balance Sheet (2021-2025)</t>
  </si>
  <si>
    <t>Income Statement  (2021-2025)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</si>
</sst>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 &quot;₹&quot;\ * #,##0.00_ ;_ &quot;₹&quot;\ * \-#,##0.00_ ;_ &quot;₹&quot;\ * &quot;-&quot;??_ ;_ @_ "/>
    <numFmt numFmtId="164" formatCode="\$#,##0;&quot;($&quot;#,##0\)"/>
    <numFmt numFmtId="165" formatCode="0.00%;\(0.00%\)"/>
    <numFmt numFmtId="166" formatCode="0.00;\(0.00\)"/>
    <numFmt numFmtId="167" formatCode="[$$-409]#,##0.00;[Red]\-[$$-409]#,##0.00"/>
    <numFmt numFmtId="168" formatCode="0.000;\(0.000\)"/>
    <numFmt numFmtId="169" formatCode="0.0%;\(0.0%\)"/>
    <numFmt numFmtId="170" formatCode="#,##0;\(#,##0\)"/>
    <numFmt numFmtId="171" formatCode="0.000"/>
    <numFmt numFmtId="172" formatCode="_-[$$-409]* #,##0.00_ ;_-[$$-409]* \-#,##0.00\ ;_-[$$-409]* &quot;-&quot;??_ ;_-@_ "/>
    <numFmt numFmtId="173" formatCode="_-[$$-409]* #,##0_ ;_-[$$-409]* \-#,##0\ ;_-[$$-409]* &quot;-&quot;??_ ;_-@_ "/>
  </numFmts>
  <fonts count="29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8"/>
      <color theme="1"/>
      <name val="Times New Roman"/>
      <family val="1"/>
      <charset val="1"/>
    </font>
    <font>
      <sz val="11"/>
      <color theme="1"/>
      <name val="Arial"/>
      <family val="2"/>
      <charset val="1"/>
    </font>
    <font>
      <b/>
      <sz val="11"/>
      <color theme="1"/>
      <name val="Arial"/>
      <family val="2"/>
      <charset val="1"/>
    </font>
    <font>
      <b/>
      <sz val="11"/>
      <name val="Arial"/>
      <family val="2"/>
      <charset val="1"/>
    </font>
    <font>
      <b/>
      <sz val="14"/>
      <name val="Arial"/>
      <family val="2"/>
      <charset val="1"/>
    </font>
    <font>
      <i/>
      <sz val="9"/>
      <color rgb="FF555555"/>
      <name val="Arial"/>
      <family val="2"/>
      <charset val="1"/>
    </font>
    <font>
      <b/>
      <sz val="11"/>
      <name val="Calibri"/>
      <family val="2"/>
      <charset val="1"/>
    </font>
    <font>
      <sz val="11"/>
      <name val="Calibri"/>
      <family val="2"/>
      <charset val="1"/>
    </font>
    <font>
      <b/>
      <sz val="9"/>
      <color rgb="FF000000"/>
      <name val="Arial"/>
      <family val="2"/>
      <charset val="1"/>
    </font>
    <font>
      <i/>
      <sz val="9"/>
      <name val="Arial"/>
      <family val="2"/>
      <charset val="1"/>
    </font>
    <font>
      <sz val="11"/>
      <color rgb="FF008000"/>
      <name val="Calibri"/>
      <family val="2"/>
      <charset val="1"/>
    </font>
    <font>
      <b/>
      <sz val="11"/>
      <name val="Calibri"/>
      <family val="2"/>
    </font>
    <font>
      <sz val="11"/>
      <color theme="1"/>
      <name val="Calibri"/>
      <family val="2"/>
      <charset val="1"/>
    </font>
    <font>
      <sz val="11"/>
      <color rgb="FF9C0006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24"/>
      <name val="Arial"/>
      <family val="2"/>
      <charset val="1"/>
    </font>
    <font>
      <b/>
      <sz val="11"/>
      <color theme="0"/>
      <name val="Arial"/>
      <family val="2"/>
    </font>
    <font>
      <b/>
      <sz val="12"/>
      <color theme="0"/>
      <name val="Arial"/>
      <family val="2"/>
      <charset val="1"/>
    </font>
    <font>
      <b/>
      <sz val="24"/>
      <color theme="0"/>
      <name val="Arial"/>
      <family val="2"/>
      <charset val="1"/>
    </font>
    <font>
      <b/>
      <i/>
      <sz val="11"/>
      <name val="Arial"/>
      <family val="2"/>
    </font>
    <font>
      <sz val="11"/>
      <color rgb="FF0000FF"/>
      <name val="Arial"/>
      <family val="2"/>
    </font>
    <font>
      <i/>
      <sz val="12"/>
      <color theme="1"/>
      <name val="Arial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  <charset val="1"/>
    </font>
  </fonts>
  <fills count="17">
    <fill>
      <patternFill patternType="none"/>
    </fill>
    <fill>
      <patternFill patternType="gray125"/>
    </fill>
    <fill>
      <patternFill patternType="solid">
        <fgColor rgb="FFFFF2CC"/>
        <bgColor rgb="FFFFE699"/>
      </patternFill>
    </fill>
    <fill>
      <patternFill patternType="solid">
        <fgColor rgb="FFFFC7CE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rgb="FFFFF2CC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rgb="FF9999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14" fillId="0" borderId="0"/>
    <xf numFmtId="0" fontId="15" fillId="3" borderId="0" applyNumberFormat="0" applyBorder="0" applyAlignment="0" applyProtection="0"/>
    <xf numFmtId="0" fontId="1" fillId="4" borderId="0" applyNumberFormat="0" applyBorder="0" applyAlignment="0" applyProtection="0"/>
    <xf numFmtId="44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165" fontId="26" fillId="11" borderId="0"/>
  </cellStyleXfs>
  <cellXfs count="117">
    <xf numFmtId="0" fontId="0" fillId="0" borderId="0" xfId="0"/>
    <xf numFmtId="0" fontId="0" fillId="0" borderId="0" xfId="0" applyAlignment="1">
      <alignment horizontal="center"/>
    </xf>
    <xf numFmtId="166" fontId="0" fillId="0" borderId="0" xfId="0" applyNumberFormat="1"/>
    <xf numFmtId="165" fontId="0" fillId="0" borderId="0" xfId="0" applyNumberFormat="1"/>
    <xf numFmtId="0" fontId="3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164" fontId="9" fillId="0" borderId="0" xfId="0" applyNumberFormat="1" applyFont="1"/>
    <xf numFmtId="164" fontId="5" fillId="0" borderId="0" xfId="0" applyNumberFormat="1" applyFont="1"/>
    <xf numFmtId="164" fontId="8" fillId="0" borderId="0" xfId="0" applyNumberFormat="1" applyFont="1"/>
    <xf numFmtId="166" fontId="9" fillId="0" borderId="0" xfId="0" applyNumberFormat="1" applyFont="1"/>
    <xf numFmtId="170" fontId="9" fillId="0" borderId="0" xfId="0" applyNumberFormat="1" applyFont="1"/>
    <xf numFmtId="0" fontId="10" fillId="0" borderId="0" xfId="0" applyFont="1"/>
    <xf numFmtId="169" fontId="0" fillId="0" borderId="0" xfId="0" applyNumberFormat="1"/>
    <xf numFmtId="164" fontId="12" fillId="0" borderId="0" xfId="0" applyNumberFormat="1" applyFont="1"/>
    <xf numFmtId="164" fontId="5" fillId="2" borderId="0" xfId="0" applyNumberFormat="1" applyFont="1" applyFill="1"/>
    <xf numFmtId="0" fontId="8" fillId="6" borderId="0" xfId="0" applyFont="1" applyFill="1"/>
    <xf numFmtId="169" fontId="1" fillId="4" borderId="0" xfId="3" applyNumberFormat="1"/>
    <xf numFmtId="0" fontId="18" fillId="5" borderId="0" xfId="0" applyFont="1" applyFill="1"/>
    <xf numFmtId="0" fontId="17" fillId="0" borderId="0" xfId="0" applyFont="1"/>
    <xf numFmtId="0" fontId="19" fillId="0" borderId="0" xfId="0" applyFont="1"/>
    <xf numFmtId="164" fontId="19" fillId="0" borderId="0" xfId="0" applyNumberFormat="1" applyFont="1"/>
    <xf numFmtId="164" fontId="19" fillId="0" borderId="0" xfId="0" applyNumberFormat="1" applyFont="1" applyAlignment="1">
      <alignment horizontal="right"/>
    </xf>
    <xf numFmtId="0" fontId="17" fillId="0" borderId="0" xfId="0" applyFont="1" applyAlignment="1">
      <alignment horizontal="right"/>
    </xf>
    <xf numFmtId="170" fontId="19" fillId="0" borderId="0" xfId="0" applyNumberFormat="1" applyFont="1" applyAlignment="1">
      <alignment horizontal="right"/>
    </xf>
    <xf numFmtId="170" fontId="15" fillId="3" borderId="0" xfId="2" applyNumberFormat="1"/>
    <xf numFmtId="164" fontId="18" fillId="5" borderId="3" xfId="0" applyNumberFormat="1" applyFont="1" applyFill="1" applyBorder="1" applyAlignment="1">
      <alignment horizontal="right"/>
    </xf>
    <xf numFmtId="0" fontId="21" fillId="7" borderId="0" xfId="0" applyFont="1" applyFill="1"/>
    <xf numFmtId="0" fontId="21" fillId="7" borderId="0" xfId="0" applyFont="1" applyFill="1" applyAlignment="1">
      <alignment horizontal="center"/>
    </xf>
    <xf numFmtId="166" fontId="18" fillId="5" borderId="0" xfId="0" applyNumberFormat="1" applyFont="1" applyFill="1" applyAlignment="1">
      <alignment horizontal="right"/>
    </xf>
    <xf numFmtId="169" fontId="9" fillId="10" borderId="0" xfId="0" applyNumberFormat="1" applyFont="1" applyFill="1"/>
    <xf numFmtId="164" fontId="9" fillId="10" borderId="0" xfId="0" applyNumberFormat="1" applyFont="1" applyFill="1"/>
    <xf numFmtId="0" fontId="21" fillId="7" borderId="0" xfId="0" applyFont="1" applyFill="1" applyAlignment="1">
      <alignment horizontal="left"/>
    </xf>
    <xf numFmtId="0" fontId="18" fillId="5" borderId="3" xfId="0" applyFont="1" applyFill="1" applyBorder="1"/>
    <xf numFmtId="164" fontId="18" fillId="5" borderId="3" xfId="0" applyNumberFormat="1" applyFont="1" applyFill="1" applyBorder="1"/>
    <xf numFmtId="0" fontId="19" fillId="5" borderId="3" xfId="0" applyFont="1" applyFill="1" applyBorder="1"/>
    <xf numFmtId="164" fontId="19" fillId="5" borderId="3" xfId="0" applyNumberFormat="1" applyFont="1" applyFill="1" applyBorder="1"/>
    <xf numFmtId="0" fontId="18" fillId="2" borderId="0" xfId="0" applyFont="1" applyFill="1"/>
    <xf numFmtId="164" fontId="18" fillId="2" borderId="0" xfId="0" applyNumberFormat="1" applyFont="1" applyFill="1"/>
    <xf numFmtId="0" fontId="19" fillId="8" borderId="0" xfId="0" applyFont="1" applyFill="1"/>
    <xf numFmtId="164" fontId="19" fillId="8" borderId="0" xfId="0" applyNumberFormat="1" applyFont="1" applyFill="1"/>
    <xf numFmtId="0" fontId="24" fillId="8" borderId="0" xfId="0" applyFont="1" applyFill="1"/>
    <xf numFmtId="164" fontId="25" fillId="0" borderId="0" xfId="0" applyNumberFormat="1" applyFont="1"/>
    <xf numFmtId="0" fontId="18" fillId="8" borderId="3" xfId="0" applyFont="1" applyFill="1" applyBorder="1"/>
    <xf numFmtId="164" fontId="18" fillId="8" borderId="3" xfId="0" applyNumberFormat="1" applyFont="1" applyFill="1" applyBorder="1"/>
    <xf numFmtId="0" fontId="16" fillId="5" borderId="2" xfId="0" applyFont="1" applyFill="1" applyBorder="1"/>
    <xf numFmtId="0" fontId="16" fillId="5" borderId="1" xfId="0" applyFont="1" applyFill="1" applyBorder="1"/>
    <xf numFmtId="165" fontId="0" fillId="0" borderId="0" xfId="0" applyNumberFormat="1" applyAlignment="1">
      <alignment horizontal="center"/>
    </xf>
    <xf numFmtId="165" fontId="0" fillId="10" borderId="0" xfId="0" applyNumberFormat="1" applyFill="1" applyAlignment="1">
      <alignment horizontal="center"/>
    </xf>
    <xf numFmtId="0" fontId="18" fillId="0" borderId="0" xfId="0" applyFont="1"/>
    <xf numFmtId="0" fontId="3" fillId="12" borderId="0" xfId="0" applyFont="1" applyFill="1"/>
    <xf numFmtId="0" fontId="21" fillId="7" borderId="0" xfId="0" applyFont="1" applyFill="1" applyAlignment="1">
      <alignment horizontal="center" vertical="center"/>
    </xf>
    <xf numFmtId="165" fontId="0" fillId="13" borderId="0" xfId="0" applyNumberFormat="1" applyFill="1"/>
    <xf numFmtId="0" fontId="0" fillId="13" borderId="0" xfId="0" applyFill="1" applyAlignment="1">
      <alignment horizontal="center"/>
    </xf>
    <xf numFmtId="0" fontId="18" fillId="8" borderId="0" xfId="0" applyFont="1" applyFill="1"/>
    <xf numFmtId="0" fontId="16" fillId="12" borderId="3" xfId="0" applyFont="1" applyFill="1" applyBorder="1"/>
    <xf numFmtId="0" fontId="18" fillId="14" borderId="3" xfId="0" applyFont="1" applyFill="1" applyBorder="1"/>
    <xf numFmtId="0" fontId="17" fillId="14" borderId="3" xfId="0" applyFont="1" applyFill="1" applyBorder="1"/>
    <xf numFmtId="0" fontId="4" fillId="14" borderId="3" xfId="0" applyFont="1" applyFill="1" applyBorder="1"/>
    <xf numFmtId="0" fontId="4" fillId="5" borderId="3" xfId="0" applyFont="1" applyFill="1" applyBorder="1"/>
    <xf numFmtId="0" fontId="16" fillId="14" borderId="3" xfId="0" applyFont="1" applyFill="1" applyBorder="1"/>
    <xf numFmtId="0" fontId="0" fillId="8" borderId="0" xfId="0" applyFill="1"/>
    <xf numFmtId="0" fontId="0" fillId="5" borderId="0" xfId="0" applyFill="1"/>
    <xf numFmtId="172" fontId="17" fillId="0" borderId="0" xfId="0" applyNumberFormat="1" applyFont="1"/>
    <xf numFmtId="172" fontId="16" fillId="14" borderId="3" xfId="0" applyNumberFormat="1" applyFont="1" applyFill="1" applyBorder="1"/>
    <xf numFmtId="173" fontId="17" fillId="0" borderId="0" xfId="0" applyNumberFormat="1" applyFont="1"/>
    <xf numFmtId="173" fontId="16" fillId="14" borderId="3" xfId="0" applyNumberFormat="1" applyFont="1" applyFill="1" applyBorder="1"/>
    <xf numFmtId="173" fontId="16" fillId="5" borderId="2" xfId="0" applyNumberFormat="1" applyFont="1" applyFill="1" applyBorder="1"/>
    <xf numFmtId="173" fontId="16" fillId="5" borderId="1" xfId="0" applyNumberFormat="1" applyFont="1" applyFill="1" applyBorder="1"/>
    <xf numFmtId="173" fontId="3" fillId="12" borderId="0" xfId="0" applyNumberFormat="1" applyFont="1" applyFill="1"/>
    <xf numFmtId="173" fontId="3" fillId="0" borderId="0" xfId="0" applyNumberFormat="1" applyFont="1"/>
    <xf numFmtId="173" fontId="4" fillId="14" borderId="3" xfId="0" applyNumberFormat="1" applyFont="1" applyFill="1" applyBorder="1"/>
    <xf numFmtId="173" fontId="16" fillId="5" borderId="3" xfId="0" applyNumberFormat="1" applyFont="1" applyFill="1" applyBorder="1"/>
    <xf numFmtId="173" fontId="19" fillId="0" borderId="0" xfId="0" applyNumberFormat="1" applyFont="1" applyAlignment="1">
      <alignment horizontal="right"/>
    </xf>
    <xf numFmtId="173" fontId="18" fillId="14" borderId="3" xfId="0" applyNumberFormat="1" applyFont="1" applyFill="1" applyBorder="1" applyAlignment="1">
      <alignment horizontal="right"/>
    </xf>
    <xf numFmtId="173" fontId="0" fillId="0" borderId="0" xfId="0" applyNumberFormat="1"/>
    <xf numFmtId="173" fontId="16" fillId="12" borderId="3" xfId="0" applyNumberFormat="1" applyFont="1" applyFill="1" applyBorder="1"/>
    <xf numFmtId="165" fontId="3" fillId="0" borderId="0" xfId="0" applyNumberFormat="1" applyFont="1"/>
    <xf numFmtId="0" fontId="0" fillId="15" borderId="0" xfId="0" applyFill="1"/>
    <xf numFmtId="0" fontId="0" fillId="15" borderId="0" xfId="0" applyFill="1" applyAlignment="1">
      <alignment horizontal="center"/>
    </xf>
    <xf numFmtId="165" fontId="0" fillId="15" borderId="0" xfId="0" applyNumberFormat="1" applyFill="1"/>
    <xf numFmtId="165" fontId="0" fillId="5" borderId="0" xfId="0" applyNumberFormat="1" applyFill="1" applyAlignment="1">
      <alignment horizontal="center"/>
    </xf>
    <xf numFmtId="165" fontId="0" fillId="5" borderId="0" xfId="0" applyNumberFormat="1" applyFill="1"/>
    <xf numFmtId="165" fontId="0" fillId="8" borderId="0" xfId="0" applyNumberFormat="1" applyFill="1"/>
    <xf numFmtId="167" fontId="0" fillId="8" borderId="0" xfId="0" applyNumberFormat="1" applyFill="1"/>
    <xf numFmtId="0" fontId="28" fillId="7" borderId="0" xfId="0" applyFont="1" applyFill="1"/>
    <xf numFmtId="0" fontId="28" fillId="7" borderId="0" xfId="0" applyFont="1" applyFill="1" applyAlignment="1">
      <alignment horizontal="center"/>
    </xf>
    <xf numFmtId="166" fontId="28" fillId="7" borderId="0" xfId="0" applyNumberFormat="1" applyFont="1" applyFill="1"/>
    <xf numFmtId="165" fontId="28" fillId="7" borderId="0" xfId="0" applyNumberFormat="1" applyFont="1" applyFill="1" applyAlignment="1">
      <alignment horizontal="center"/>
    </xf>
    <xf numFmtId="0" fontId="28" fillId="9" borderId="0" xfId="0" applyFont="1" applyFill="1"/>
    <xf numFmtId="165" fontId="28" fillId="9" borderId="0" xfId="0" applyNumberFormat="1" applyFont="1" applyFill="1"/>
    <xf numFmtId="164" fontId="28" fillId="9" borderId="0" xfId="0" applyNumberFormat="1" applyFont="1" applyFill="1"/>
    <xf numFmtId="166" fontId="28" fillId="9" borderId="0" xfId="0" applyNumberFormat="1" applyFont="1" applyFill="1"/>
    <xf numFmtId="168" fontId="28" fillId="9" borderId="0" xfId="0" applyNumberFormat="1" applyFont="1" applyFill="1"/>
    <xf numFmtId="0" fontId="0" fillId="16" borderId="0" xfId="0" applyFill="1"/>
    <xf numFmtId="10" fontId="0" fillId="15" borderId="0" xfId="5" applyNumberFormat="1" applyFont="1" applyFill="1"/>
    <xf numFmtId="10" fontId="0" fillId="15" borderId="0" xfId="5" applyNumberFormat="1" applyFont="1" applyFill="1" applyAlignment="1">
      <alignment horizontal="center"/>
    </xf>
    <xf numFmtId="172" fontId="0" fillId="15" borderId="0" xfId="4" applyNumberFormat="1" applyFont="1" applyFill="1"/>
    <xf numFmtId="2" fontId="0" fillId="15" borderId="0" xfId="0" applyNumberFormat="1" applyFill="1"/>
    <xf numFmtId="173" fontId="0" fillId="15" borderId="0" xfId="4" applyNumberFormat="1" applyFont="1" applyFill="1"/>
    <xf numFmtId="171" fontId="0" fillId="15" borderId="0" xfId="0" applyNumberFormat="1" applyFill="1"/>
    <xf numFmtId="0" fontId="13" fillId="8" borderId="0" xfId="0" applyFont="1" applyFill="1"/>
    <xf numFmtId="0" fontId="27" fillId="8" borderId="0" xfId="0" applyFont="1" applyFill="1"/>
    <xf numFmtId="2" fontId="0" fillId="15" borderId="0" xfId="5" applyNumberFormat="1" applyFont="1" applyFill="1"/>
    <xf numFmtId="2" fontId="0" fillId="8" borderId="0" xfId="0" applyNumberFormat="1" applyFill="1"/>
    <xf numFmtId="165" fontId="5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vertical="top" wrapText="1"/>
    </xf>
    <xf numFmtId="0" fontId="23" fillId="9" borderId="0" xfId="0" applyFont="1" applyFill="1" applyAlignment="1">
      <alignment horizontal="center" vertical="center"/>
    </xf>
    <xf numFmtId="0" fontId="22" fillId="7" borderId="0" xfId="0" applyFont="1" applyFill="1" applyAlignment="1">
      <alignment horizontal="center" vertical="center"/>
    </xf>
    <xf numFmtId="0" fontId="11" fillId="8" borderId="0" xfId="0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vertical="top" wrapText="1"/>
    </xf>
    <xf numFmtId="0" fontId="20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</cellXfs>
  <cellStyles count="7">
    <cellStyle name="40% - Accent6" xfId="3" builtinId="51"/>
    <cellStyle name="Bad" xfId="2" builtinId="27"/>
    <cellStyle name="Currency" xfId="4" builtinId="4"/>
    <cellStyle name="Normal" xfId="0" builtinId="0"/>
    <cellStyle name="Normal 2" xfId="1" xr:uid="{00000000-0005-0000-0000-000006000000}"/>
    <cellStyle name="Percent" xfId="5" builtinId="5"/>
    <cellStyle name="Positive and Negative" xfId="6" xr:uid="{58211A8D-F5CF-4CB0-849E-1BC171A5CA39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548235"/>
      <rgbColor rgb="FF800080"/>
      <rgbColor rgb="FF008080"/>
      <rgbColor rgb="FFC5E0B4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DC3E6"/>
      <rgbColor rgb="FFFFC7CE"/>
      <rgbColor rgb="FFCC99FF"/>
      <rgbColor rgb="FFF8CBAD"/>
      <rgbColor rgb="FF2E75B6"/>
      <rgbColor rgb="FF33CCCC"/>
      <rgbColor rgb="FF99CC00"/>
      <rgbColor rgb="FFFFCC00"/>
      <rgbColor rgb="FFBF8F00"/>
      <rgbColor rgb="FFFF6600"/>
      <rgbColor rgb="FF595959"/>
      <rgbColor rgb="FF999999"/>
      <rgbColor rgb="FF003366"/>
      <rgbColor rgb="FF339966"/>
      <rgbColor rgb="FF003300"/>
      <rgbColor rgb="FF333300"/>
      <rgbColor rgb="FF993300"/>
      <rgbColor rgb="FF993366"/>
      <rgbColor rgb="FF1F4E79"/>
      <rgbColor rgb="FF5555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B1:S34"/>
  <sheetViews>
    <sheetView tabSelected="1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1" sqref="C1:G4"/>
    </sheetView>
  </sheetViews>
  <sheetFormatPr defaultColWidth="8.7109375" defaultRowHeight="15" x14ac:dyDescent="0.25"/>
  <cols>
    <col min="1" max="1" width="2.42578125" customWidth="1"/>
    <col min="2" max="2" width="47.7109375" customWidth="1"/>
    <col min="3" max="6" width="12.5703125" bestFit="1" customWidth="1"/>
    <col min="7" max="7" width="15.42578125" customWidth="1"/>
    <col min="8" max="8" width="2.5703125" customWidth="1"/>
    <col min="10" max="10" width="11.28515625" customWidth="1"/>
    <col min="11" max="12" width="9.28515625" customWidth="1"/>
    <col min="13" max="13" width="9.85546875" customWidth="1"/>
    <col min="14" max="14" width="3.5703125" customWidth="1"/>
  </cols>
  <sheetData>
    <row r="1" spans="2:19" ht="22.5" customHeight="1" x14ac:dyDescent="0.25">
      <c r="B1" s="113"/>
      <c r="C1" s="109" t="s">
        <v>0</v>
      </c>
      <c r="D1" s="109"/>
      <c r="E1" s="109"/>
      <c r="F1" s="109"/>
      <c r="G1" s="109"/>
      <c r="I1" s="107"/>
      <c r="J1" s="107"/>
      <c r="K1" s="107"/>
      <c r="L1" s="107"/>
      <c r="M1" s="107"/>
      <c r="O1" s="107"/>
      <c r="P1" s="107"/>
      <c r="Q1" s="107"/>
      <c r="R1" s="107"/>
      <c r="S1" s="107"/>
    </row>
    <row r="2" spans="2:19" ht="15.75" customHeight="1" x14ac:dyDescent="0.25">
      <c r="B2" s="113"/>
      <c r="C2" s="109"/>
      <c r="D2" s="109"/>
      <c r="E2" s="109"/>
      <c r="F2" s="109"/>
      <c r="G2" s="109"/>
      <c r="I2" s="107"/>
      <c r="J2" s="107"/>
      <c r="K2" s="107"/>
      <c r="L2" s="107"/>
      <c r="M2" s="107"/>
      <c r="O2" s="107"/>
      <c r="P2" s="107"/>
      <c r="Q2" s="107"/>
      <c r="R2" s="107"/>
      <c r="S2" s="107"/>
    </row>
    <row r="3" spans="2:19" ht="21" customHeight="1" x14ac:dyDescent="0.25">
      <c r="B3" s="113"/>
      <c r="C3" s="110" t="s">
        <v>180</v>
      </c>
      <c r="D3" s="110"/>
      <c r="E3" s="110"/>
      <c r="F3" s="110"/>
      <c r="G3" s="110"/>
      <c r="I3" s="110" t="s">
        <v>1</v>
      </c>
      <c r="J3" s="110"/>
      <c r="K3" s="110"/>
      <c r="L3" s="110"/>
      <c r="M3" s="110"/>
      <c r="O3" s="110" t="s">
        <v>2</v>
      </c>
      <c r="P3" s="110"/>
      <c r="Q3" s="110"/>
      <c r="R3" s="110"/>
      <c r="S3" s="110"/>
    </row>
    <row r="4" spans="2:19" ht="15.75" customHeight="1" x14ac:dyDescent="0.25">
      <c r="B4" s="113"/>
      <c r="C4" s="111" t="s">
        <v>145</v>
      </c>
      <c r="D4" s="111"/>
      <c r="E4" s="111"/>
      <c r="F4" s="111"/>
      <c r="G4" s="111"/>
      <c r="I4" s="111" t="s">
        <v>146</v>
      </c>
      <c r="J4" s="111"/>
      <c r="K4" s="111"/>
      <c r="L4" s="111"/>
      <c r="M4" s="111"/>
      <c r="O4" s="111" t="s">
        <v>146</v>
      </c>
      <c r="P4" s="111"/>
      <c r="Q4" s="111"/>
      <c r="R4" s="111"/>
      <c r="S4" s="111"/>
    </row>
    <row r="5" spans="2:19" x14ac:dyDescent="0.25">
      <c r="B5" s="28" t="s">
        <v>64</v>
      </c>
      <c r="C5" s="29">
        <v>2021</v>
      </c>
      <c r="D5" s="29">
        <v>2022</v>
      </c>
      <c r="E5" s="29">
        <v>2023</v>
      </c>
      <c r="F5" s="28">
        <v>2024</v>
      </c>
      <c r="G5" s="29">
        <v>2025</v>
      </c>
      <c r="I5" s="29">
        <v>2021</v>
      </c>
      <c r="J5" s="29">
        <v>2022</v>
      </c>
      <c r="K5" s="29">
        <v>2023</v>
      </c>
      <c r="L5" s="28">
        <v>2024</v>
      </c>
      <c r="M5" s="29">
        <v>2025</v>
      </c>
      <c r="O5" s="29">
        <v>2021</v>
      </c>
      <c r="P5" s="29">
        <v>2022</v>
      </c>
      <c r="Q5" s="29">
        <v>2023</v>
      </c>
      <c r="R5" s="28">
        <v>2024</v>
      </c>
      <c r="S5" s="29">
        <v>2025</v>
      </c>
    </row>
    <row r="6" spans="2:19" ht="15" customHeight="1" x14ac:dyDescent="0.25">
      <c r="B6" s="20"/>
      <c r="C6" s="20"/>
      <c r="D6" s="20"/>
      <c r="E6" s="20"/>
      <c r="F6" s="20"/>
      <c r="G6" s="20"/>
    </row>
    <row r="7" spans="2:19" ht="15" customHeight="1" x14ac:dyDescent="0.25">
      <c r="B7" s="20" t="s">
        <v>3</v>
      </c>
      <c r="C7" s="66">
        <v>15785</v>
      </c>
      <c r="D7" s="66">
        <v>17606</v>
      </c>
      <c r="E7" s="66">
        <v>19409</v>
      </c>
      <c r="F7" s="66">
        <v>21505</v>
      </c>
      <c r="G7" s="66">
        <v>23769</v>
      </c>
      <c r="I7" s="49" t="s">
        <v>4</v>
      </c>
      <c r="J7" s="3">
        <f t="shared" ref="J7:M7" si="0">(D7-C7)/C7</f>
        <v>0.11536268609439342</v>
      </c>
      <c r="K7" s="3">
        <f t="shared" si="0"/>
        <v>0.10240826990798592</v>
      </c>
      <c r="L7" s="3">
        <f t="shared" si="0"/>
        <v>0.10799113813179453</v>
      </c>
      <c r="M7" s="3">
        <f t="shared" si="0"/>
        <v>0.10527784236224134</v>
      </c>
      <c r="O7" s="3">
        <f>C7/C7</f>
        <v>1</v>
      </c>
      <c r="P7" s="3">
        <f>D7/D7</f>
        <v>1</v>
      </c>
      <c r="Q7" s="3">
        <f>E7/E7</f>
        <v>1</v>
      </c>
      <c r="R7" s="3">
        <f>F7/F7</f>
        <v>1</v>
      </c>
      <c r="S7" s="3">
        <f>G7/G7</f>
        <v>1</v>
      </c>
    </row>
    <row r="8" spans="2:19" ht="15" customHeight="1" x14ac:dyDescent="0.25">
      <c r="B8" s="20" t="s">
        <v>5</v>
      </c>
      <c r="C8" s="66">
        <v>1865</v>
      </c>
      <c r="D8" s="66">
        <v>2165</v>
      </c>
      <c r="E8" s="66">
        <v>2354</v>
      </c>
      <c r="F8" s="66">
        <v>2358</v>
      </c>
      <c r="G8" s="66">
        <v>2551</v>
      </c>
      <c r="I8" s="49" t="s">
        <v>4</v>
      </c>
      <c r="J8" s="3">
        <f t="shared" ref="J8:J9" si="1">(D8-C8)/C8</f>
        <v>0.16085790884718498</v>
      </c>
      <c r="K8" s="3">
        <f t="shared" ref="K8:K9" si="2">(E8-D8)/D8</f>
        <v>8.729792147806005E-2</v>
      </c>
      <c r="L8" s="3">
        <f t="shared" ref="L8:L9" si="3">(F8-E8)/E8</f>
        <v>1.6992353440951572E-3</v>
      </c>
      <c r="M8" s="3">
        <f t="shared" ref="M8:M9" si="4">(G8-F8)/F8</f>
        <v>8.1849024597116196E-2</v>
      </c>
      <c r="O8" s="3">
        <f>C8/C7</f>
        <v>0.11815014254038644</v>
      </c>
      <c r="P8" s="2">
        <f>D8/D7</f>
        <v>0.12296944223560149</v>
      </c>
      <c r="Q8" s="2">
        <f>E8/E7</f>
        <v>0.12128394044000206</v>
      </c>
      <c r="R8" s="2">
        <f>F8/F7</f>
        <v>0.10964891885607998</v>
      </c>
      <c r="S8" s="2">
        <f>G8/G7</f>
        <v>0.10732466658252346</v>
      </c>
    </row>
    <row r="9" spans="2:19" ht="15" customHeight="1" thickBot="1" x14ac:dyDescent="0.3">
      <c r="B9" s="61" t="s">
        <v>6</v>
      </c>
      <c r="C9" s="67">
        <f>C7-C8</f>
        <v>13920</v>
      </c>
      <c r="D9" s="67">
        <f>D7-D8</f>
        <v>15441</v>
      </c>
      <c r="E9" s="67">
        <f>E7-E8</f>
        <v>17055</v>
      </c>
      <c r="F9" s="67">
        <f>F7-F8</f>
        <v>19147</v>
      </c>
      <c r="G9" s="67">
        <f>G7-G8</f>
        <v>21218</v>
      </c>
      <c r="I9" s="49" t="s">
        <v>4</v>
      </c>
      <c r="J9" s="3">
        <f t="shared" si="1"/>
        <v>0.10926724137931035</v>
      </c>
      <c r="K9" s="3">
        <f t="shared" si="2"/>
        <v>0.10452690887895862</v>
      </c>
      <c r="L9" s="3">
        <f t="shared" si="3"/>
        <v>0.122661975960129</v>
      </c>
      <c r="M9" s="3">
        <f t="shared" si="4"/>
        <v>0.10816315871938163</v>
      </c>
      <c r="O9" s="3">
        <f>C9/C7</f>
        <v>0.88184985745961353</v>
      </c>
      <c r="P9" s="2">
        <f>D9/D7</f>
        <v>0.87703055776439853</v>
      </c>
      <c r="Q9" s="2">
        <f>E9/E7</f>
        <v>0.87871605955999799</v>
      </c>
      <c r="R9" s="2">
        <f>F9/F7</f>
        <v>0.89035108114392003</v>
      </c>
      <c r="S9" s="2">
        <f>G9/G7</f>
        <v>0.89267533341747651</v>
      </c>
    </row>
    <row r="10" spans="2:19" ht="15" customHeight="1" x14ac:dyDescent="0.25">
      <c r="B10" s="20"/>
      <c r="C10" s="66"/>
      <c r="D10" s="66"/>
      <c r="E10" s="66"/>
      <c r="F10" s="66"/>
      <c r="G10" s="66"/>
      <c r="I10" s="3"/>
      <c r="J10" s="3"/>
      <c r="K10" s="3"/>
      <c r="L10" s="3"/>
      <c r="M10" s="3"/>
      <c r="O10" s="3"/>
      <c r="P10" s="2"/>
      <c r="Q10" s="2"/>
      <c r="R10" s="2"/>
      <c r="S10" s="2"/>
    </row>
    <row r="11" spans="2:19" ht="15" customHeight="1" x14ac:dyDescent="0.25">
      <c r="B11" s="20" t="s">
        <v>7</v>
      </c>
      <c r="C11" s="66">
        <v>2540</v>
      </c>
      <c r="D11" s="66">
        <v>2987</v>
      </c>
      <c r="E11" s="66">
        <v>3473</v>
      </c>
      <c r="F11" s="66">
        <v>3944</v>
      </c>
      <c r="G11" s="66">
        <v>4294</v>
      </c>
      <c r="I11" s="49" t="s">
        <v>4</v>
      </c>
      <c r="J11" s="3">
        <f t="shared" ref="J11:M15" si="5">(D11-C11)/C11</f>
        <v>0.17598425196850392</v>
      </c>
      <c r="K11" s="3">
        <f t="shared" si="5"/>
        <v>0.16270505523937059</v>
      </c>
      <c r="L11" s="3">
        <f t="shared" si="5"/>
        <v>0.13561762165274979</v>
      </c>
      <c r="M11" s="3">
        <f t="shared" si="5"/>
        <v>8.8742393509127784E-2</v>
      </c>
      <c r="O11" s="3">
        <f>C11/C7</f>
        <v>0.16091225847323409</v>
      </c>
      <c r="P11" s="2">
        <f>D11/D7</f>
        <v>0.16965807111212086</v>
      </c>
      <c r="Q11" s="2">
        <f>E11/E7</f>
        <v>0.17893760626513472</v>
      </c>
      <c r="R11" s="2">
        <f>F11/F7</f>
        <v>0.183399209486166</v>
      </c>
      <c r="S11" s="2">
        <f>G11/G7</f>
        <v>0.1806554756195044</v>
      </c>
    </row>
    <row r="12" spans="2:19" ht="15" customHeight="1" x14ac:dyDescent="0.25">
      <c r="B12" s="20" t="s">
        <v>8</v>
      </c>
      <c r="C12" s="66">
        <v>4321</v>
      </c>
      <c r="D12" s="66">
        <v>4968</v>
      </c>
      <c r="E12" s="66">
        <v>5351</v>
      </c>
      <c r="F12" s="66">
        <v>5764</v>
      </c>
      <c r="G12" s="66">
        <v>6488</v>
      </c>
      <c r="I12" s="49" t="s">
        <v>4</v>
      </c>
      <c r="J12" s="3">
        <f t="shared" si="5"/>
        <v>0.14973385790326313</v>
      </c>
      <c r="K12" s="3">
        <f t="shared" si="5"/>
        <v>7.7093397745571654E-2</v>
      </c>
      <c r="L12" s="3">
        <f t="shared" si="5"/>
        <v>7.7181835170996069E-2</v>
      </c>
      <c r="M12" s="3">
        <f t="shared" si="5"/>
        <v>0.12560721721027066</v>
      </c>
      <c r="O12" s="3">
        <f>C12/C7</f>
        <v>0.27374089325308837</v>
      </c>
      <c r="P12" s="3">
        <f>D12/D7</f>
        <v>0.28217653072816085</v>
      </c>
      <c r="Q12" s="3">
        <f>E12/E7</f>
        <v>0.27569684167138958</v>
      </c>
      <c r="R12" s="3">
        <f>F12/F7</f>
        <v>0.26803069053708439</v>
      </c>
      <c r="S12" s="3">
        <f>G12/G7</f>
        <v>0.27296057890529679</v>
      </c>
    </row>
    <row r="13" spans="2:19" ht="15" customHeight="1" x14ac:dyDescent="0.25">
      <c r="B13" s="20" t="s">
        <v>9</v>
      </c>
      <c r="C13" s="66">
        <v>1085</v>
      </c>
      <c r="D13" s="66">
        <v>1219</v>
      </c>
      <c r="E13" s="66">
        <v>1413</v>
      </c>
      <c r="F13" s="66">
        <v>1529</v>
      </c>
      <c r="G13" s="66">
        <v>1573</v>
      </c>
      <c r="I13" s="49" t="s">
        <v>4</v>
      </c>
      <c r="J13" s="3">
        <f t="shared" si="5"/>
        <v>0.12350230414746544</v>
      </c>
      <c r="K13" s="3">
        <f t="shared" si="5"/>
        <v>0.15914684167350288</v>
      </c>
      <c r="L13" s="3">
        <f t="shared" si="5"/>
        <v>8.209483368719038E-2</v>
      </c>
      <c r="M13" s="3">
        <f t="shared" si="5"/>
        <v>2.8776978417266189E-2</v>
      </c>
      <c r="O13" s="3">
        <f>C13/C7</f>
        <v>6.8736141906873618E-2</v>
      </c>
      <c r="P13" s="3">
        <f>D13/D7</f>
        <v>6.923775985459503E-2</v>
      </c>
      <c r="Q13" s="3">
        <f>E13/E7</f>
        <v>7.2801277757741256E-2</v>
      </c>
      <c r="R13" s="3">
        <f>F13/F7</f>
        <v>7.1099744245524302E-2</v>
      </c>
      <c r="S13" s="3">
        <f>G13/G7</f>
        <v>6.6178636038537589E-2</v>
      </c>
    </row>
    <row r="14" spans="2:19" ht="15" customHeight="1" x14ac:dyDescent="0.25">
      <c r="B14" s="20" t="s">
        <v>10</v>
      </c>
      <c r="C14" s="66">
        <v>172</v>
      </c>
      <c r="D14" s="66">
        <v>168</v>
      </c>
      <c r="E14" s="66">
        <v>168</v>
      </c>
      <c r="F14" s="66">
        <v>1169</v>
      </c>
      <c r="G14" s="66">
        <v>157</v>
      </c>
      <c r="I14" s="49" t="s">
        <v>4</v>
      </c>
      <c r="J14" s="3">
        <f t="shared" si="5"/>
        <v>-2.3255813953488372E-2</v>
      </c>
      <c r="K14" s="3">
        <f t="shared" si="5"/>
        <v>0</v>
      </c>
      <c r="L14" s="3">
        <f t="shared" si="5"/>
        <v>5.958333333333333</v>
      </c>
      <c r="M14" s="3">
        <f t="shared" si="5"/>
        <v>-0.86569717707442262</v>
      </c>
      <c r="O14" s="3">
        <f>C14/C7</f>
        <v>1.0896420652518213E-2</v>
      </c>
      <c r="P14" s="3">
        <f>D14/D7</f>
        <v>9.5422015222083375E-3</v>
      </c>
      <c r="Q14" s="3">
        <f>E14/E7</f>
        <v>8.6557782472049052E-3</v>
      </c>
      <c r="R14" s="3">
        <f>F14/F7</f>
        <v>5.4359451290397584E-2</v>
      </c>
      <c r="S14" s="3">
        <f>G14/G7</f>
        <v>6.6052421220918001E-3</v>
      </c>
    </row>
    <row r="15" spans="2:19" ht="15" customHeight="1" thickBot="1" x14ac:dyDescent="0.3">
      <c r="B15" s="61" t="s">
        <v>11</v>
      </c>
      <c r="C15" s="67">
        <f>SUM(C11:C14)</f>
        <v>8118</v>
      </c>
      <c r="D15" s="67">
        <f>SUM(D11:D14)</f>
        <v>9342</v>
      </c>
      <c r="E15" s="67">
        <f>SUM(E11:E14)</f>
        <v>10405</v>
      </c>
      <c r="F15" s="67">
        <f>SUM(F11:F14)</f>
        <v>12406</v>
      </c>
      <c r="G15" s="67">
        <f>SUM(G11:G14)</f>
        <v>12512</v>
      </c>
      <c r="I15" s="49" t="s">
        <v>4</v>
      </c>
      <c r="J15" s="3">
        <f t="shared" si="5"/>
        <v>0.15077605321507762</v>
      </c>
      <c r="K15" s="3">
        <f t="shared" si="5"/>
        <v>0.1137871976022265</v>
      </c>
      <c r="L15" s="3">
        <f t="shared" si="5"/>
        <v>0.19231138875540604</v>
      </c>
      <c r="M15" s="3">
        <f t="shared" si="5"/>
        <v>8.5442527809124619E-3</v>
      </c>
      <c r="O15" s="3">
        <f>C15/C7</f>
        <v>0.51428571428571423</v>
      </c>
      <c r="P15" s="3">
        <f>D15/D7</f>
        <v>0.53061456321708511</v>
      </c>
      <c r="Q15" s="3">
        <f>E15/E7</f>
        <v>0.53609150394147043</v>
      </c>
      <c r="R15" s="3">
        <f>F15/F7</f>
        <v>0.57688909555917234</v>
      </c>
      <c r="S15" s="3">
        <f>G15/G7</f>
        <v>0.52639993268543062</v>
      </c>
    </row>
    <row r="16" spans="2:19" ht="15" customHeight="1" x14ac:dyDescent="0.25">
      <c r="B16" s="20"/>
      <c r="C16" s="66"/>
      <c r="D16" s="66"/>
      <c r="E16" s="66"/>
      <c r="F16" s="66"/>
      <c r="G16" s="66"/>
      <c r="I16" s="3"/>
      <c r="J16" s="3"/>
      <c r="K16" s="3"/>
      <c r="L16" s="3"/>
      <c r="M16" s="3"/>
      <c r="O16" s="3"/>
      <c r="P16" s="3"/>
      <c r="Q16" s="3"/>
      <c r="R16" s="3"/>
      <c r="S16" s="3"/>
    </row>
    <row r="17" spans="2:19" ht="15" customHeight="1" thickBot="1" x14ac:dyDescent="0.3">
      <c r="B17" s="61" t="s">
        <v>12</v>
      </c>
      <c r="C17" s="67">
        <f>C9-C15</f>
        <v>5802</v>
      </c>
      <c r="D17" s="67">
        <f>D9-D15</f>
        <v>6099</v>
      </c>
      <c r="E17" s="67">
        <f>E9-E15</f>
        <v>6650</v>
      </c>
      <c r="F17" s="67">
        <f>F9-F15</f>
        <v>6741</v>
      </c>
      <c r="G17" s="67">
        <f>G9-G15</f>
        <v>8706</v>
      </c>
      <c r="I17" s="49" t="s">
        <v>4</v>
      </c>
      <c r="J17" s="3">
        <f>(D17-C17)/C17</f>
        <v>5.1189245087900723E-2</v>
      </c>
      <c r="K17" s="3">
        <f>(E17-D17)/D17</f>
        <v>9.0342679127725853E-2</v>
      </c>
      <c r="L17" s="3">
        <f>(F17-E17)/E17</f>
        <v>1.368421052631579E-2</v>
      </c>
      <c r="M17" s="3">
        <f>(G17-F17)/F17</f>
        <v>0.29149977748108591</v>
      </c>
      <c r="O17" s="3">
        <f>C17/C7</f>
        <v>0.36756414317389929</v>
      </c>
      <c r="P17" s="3">
        <f>D17/D7</f>
        <v>0.34641599454731342</v>
      </c>
      <c r="Q17" s="3">
        <f>E17/E7</f>
        <v>0.3426245556185275</v>
      </c>
      <c r="R17" s="3">
        <f>F17/F7</f>
        <v>0.31346198558474775</v>
      </c>
      <c r="S17" s="3">
        <f>G17/G7</f>
        <v>0.36627540073204595</v>
      </c>
    </row>
    <row r="18" spans="2:19" ht="15" customHeight="1" x14ac:dyDescent="0.25">
      <c r="B18" s="20"/>
      <c r="C18" s="66"/>
      <c r="D18" s="66"/>
      <c r="E18" s="66"/>
      <c r="F18" s="66"/>
      <c r="G18" s="66"/>
      <c r="I18" s="3"/>
      <c r="J18" s="3"/>
      <c r="K18" s="3"/>
      <c r="L18" s="3"/>
      <c r="M18" s="3"/>
      <c r="O18" s="3"/>
      <c r="P18" s="3"/>
      <c r="Q18" s="3"/>
      <c r="R18" s="3"/>
      <c r="S18" s="3"/>
    </row>
    <row r="19" spans="2:19" ht="15" customHeight="1" x14ac:dyDescent="0.25">
      <c r="B19" s="20" t="s">
        <v>13</v>
      </c>
      <c r="C19" s="66">
        <v>113</v>
      </c>
      <c r="D19" s="66">
        <v>112</v>
      </c>
      <c r="E19" s="66">
        <v>113</v>
      </c>
      <c r="F19" s="66">
        <v>169</v>
      </c>
      <c r="G19" s="66">
        <v>263</v>
      </c>
      <c r="I19" s="49" t="s">
        <v>4</v>
      </c>
      <c r="J19" s="3">
        <f t="shared" ref="J19:M21" si="6">(D19-C19)/C19</f>
        <v>-8.8495575221238937E-3</v>
      </c>
      <c r="K19" s="3">
        <f t="shared" si="6"/>
        <v>8.9285714285714281E-3</v>
      </c>
      <c r="L19" s="3">
        <f t="shared" si="6"/>
        <v>0.49557522123893805</v>
      </c>
      <c r="M19" s="3">
        <f t="shared" si="6"/>
        <v>0.55621301775147924</v>
      </c>
      <c r="O19" s="3">
        <f>C19/C7</f>
        <v>7.1586949635730123E-3</v>
      </c>
      <c r="P19" s="3">
        <f>D19/D7</f>
        <v>6.361467681472225E-3</v>
      </c>
      <c r="Q19" s="3">
        <f>E19/E7</f>
        <v>5.8220413210366322E-3</v>
      </c>
      <c r="R19" s="3">
        <f>F19/F7</f>
        <v>7.8586375261567084E-3</v>
      </c>
      <c r="S19" s="3">
        <f>G19/G7</f>
        <v>1.1064832344650595E-2</v>
      </c>
    </row>
    <row r="20" spans="2:19" ht="15" customHeight="1" x14ac:dyDescent="0.25">
      <c r="B20" s="20" t="s">
        <v>14</v>
      </c>
      <c r="C20" s="66">
        <v>16</v>
      </c>
      <c r="D20" s="66">
        <v>22</v>
      </c>
      <c r="E20" s="66">
        <v>262</v>
      </c>
      <c r="F20" s="66">
        <v>359</v>
      </c>
      <c r="G20" s="66">
        <v>291</v>
      </c>
      <c r="I20" s="49" t="s">
        <v>4</v>
      </c>
      <c r="J20" s="3">
        <f t="shared" si="6"/>
        <v>0.375</v>
      </c>
      <c r="K20" s="3">
        <f t="shared" si="6"/>
        <v>10.909090909090908</v>
      </c>
      <c r="L20" s="3">
        <f t="shared" si="6"/>
        <v>0.37022900763358779</v>
      </c>
      <c r="M20" s="3">
        <f t="shared" si="6"/>
        <v>-0.1894150417827298</v>
      </c>
      <c r="O20" s="3">
        <f>C20/C7</f>
        <v>1.0136205258156478E-3</v>
      </c>
      <c r="P20" s="3">
        <f>D20/D7</f>
        <v>1.2495740088606156E-3</v>
      </c>
      <c r="Q20" s="3">
        <f>E20/E7</f>
        <v>1.3498892266474317E-2</v>
      </c>
      <c r="R20" s="3">
        <f>F20/F7</f>
        <v>1.6693792141362473E-2</v>
      </c>
      <c r="S20" s="3">
        <f>G20/G7</f>
        <v>1.2242837309100089E-2</v>
      </c>
    </row>
    <row r="21" spans="2:19" ht="15" customHeight="1" thickBot="1" x14ac:dyDescent="0.3">
      <c r="B21" s="61" t="s">
        <v>15</v>
      </c>
      <c r="C21" s="67">
        <f>C20-C19</f>
        <v>-97</v>
      </c>
      <c r="D21" s="67">
        <f>D20-D19</f>
        <v>-90</v>
      </c>
      <c r="E21" s="67">
        <f>E20-E19</f>
        <v>149</v>
      </c>
      <c r="F21" s="67">
        <f>F20-F19</f>
        <v>190</v>
      </c>
      <c r="G21" s="67">
        <f>G20-G19</f>
        <v>28</v>
      </c>
      <c r="I21" s="49" t="s">
        <v>4</v>
      </c>
      <c r="J21" s="3">
        <f t="shared" si="6"/>
        <v>-7.2164948453608241E-2</v>
      </c>
      <c r="K21" s="3">
        <f t="shared" si="6"/>
        <v>-2.6555555555555554</v>
      </c>
      <c r="L21" s="3">
        <f t="shared" si="6"/>
        <v>0.27516778523489932</v>
      </c>
      <c r="M21" s="3">
        <f t="shared" si="6"/>
        <v>-0.85263157894736841</v>
      </c>
      <c r="O21" s="3">
        <f>C21/C7</f>
        <v>-6.1450744377573646E-3</v>
      </c>
      <c r="P21" s="3">
        <f>D21/D7</f>
        <v>-5.1118936726116098E-3</v>
      </c>
      <c r="Q21" s="3">
        <f>E21/E7</f>
        <v>7.6768509454376837E-3</v>
      </c>
      <c r="R21" s="3">
        <f>F21/F7</f>
        <v>8.8351546152057661E-3</v>
      </c>
      <c r="S21" s="3">
        <f>G21/G7</f>
        <v>1.178004964449493E-3</v>
      </c>
    </row>
    <row r="22" spans="2:19" ht="15" customHeight="1" x14ac:dyDescent="0.25">
      <c r="B22" s="20"/>
      <c r="C22" s="66"/>
      <c r="D22" s="66"/>
      <c r="E22" s="66"/>
      <c r="F22" s="66"/>
      <c r="G22" s="66"/>
      <c r="I22" s="3"/>
      <c r="J22" s="3"/>
      <c r="K22" s="3"/>
      <c r="L22" s="3"/>
      <c r="M22" s="3"/>
      <c r="O22" s="3"/>
      <c r="P22" s="3"/>
      <c r="Q22" s="3"/>
      <c r="R22" s="3"/>
      <c r="S22" s="3"/>
    </row>
    <row r="23" spans="2:19" ht="15" customHeight="1" thickBot="1" x14ac:dyDescent="0.3">
      <c r="B23" s="61" t="s">
        <v>16</v>
      </c>
      <c r="C23" s="67">
        <f>C17+C21</f>
        <v>5705</v>
      </c>
      <c r="D23" s="67">
        <f>D17+D21</f>
        <v>6009</v>
      </c>
      <c r="E23" s="67">
        <f>E17+E21</f>
        <v>6799</v>
      </c>
      <c r="F23" s="67">
        <f>F17+F21</f>
        <v>6931</v>
      </c>
      <c r="G23" s="67">
        <f>G17+G21</f>
        <v>8734</v>
      </c>
      <c r="I23" s="49" t="s">
        <v>4</v>
      </c>
      <c r="J23" s="3">
        <f t="shared" ref="J23:M25" si="7">(D23-C23)/C23</f>
        <v>5.3286590709903596E-2</v>
      </c>
      <c r="K23" s="3">
        <f t="shared" si="7"/>
        <v>0.13146946247295724</v>
      </c>
      <c r="L23" s="3">
        <f t="shared" si="7"/>
        <v>1.9414619797028975E-2</v>
      </c>
      <c r="M23" s="3">
        <f t="shared" si="7"/>
        <v>0.26013562256528638</v>
      </c>
      <c r="O23" s="3">
        <f>C23/C7</f>
        <v>0.36141906873614188</v>
      </c>
      <c r="P23" s="3">
        <f>D23/D7</f>
        <v>0.34130410087470181</v>
      </c>
      <c r="Q23" s="3">
        <f>E23/E7</f>
        <v>0.35030140656396519</v>
      </c>
      <c r="R23" s="3">
        <f>F23/F7</f>
        <v>0.32229714019995348</v>
      </c>
      <c r="S23" s="3">
        <f>G23/G7</f>
        <v>0.36745340569649543</v>
      </c>
    </row>
    <row r="24" spans="2:19" ht="15" customHeight="1" x14ac:dyDescent="0.25">
      <c r="B24" s="20" t="s">
        <v>17</v>
      </c>
      <c r="C24" s="66">
        <v>883</v>
      </c>
      <c r="D24" s="66">
        <v>1252</v>
      </c>
      <c r="E24" s="66">
        <v>1371</v>
      </c>
      <c r="F24" s="66">
        <v>1371</v>
      </c>
      <c r="G24" s="66">
        <v>1604</v>
      </c>
      <c r="I24" s="49" t="s">
        <v>4</v>
      </c>
      <c r="J24" s="3">
        <f t="shared" si="7"/>
        <v>0.41789354473386181</v>
      </c>
      <c r="K24" s="3">
        <f t="shared" si="7"/>
        <v>9.5047923322683706E-2</v>
      </c>
      <c r="L24" s="3">
        <f t="shared" si="7"/>
        <v>0</v>
      </c>
      <c r="M24" s="3">
        <f t="shared" si="7"/>
        <v>0.1699489423778264</v>
      </c>
      <c r="O24" s="3">
        <f>C24/C7</f>
        <v>5.5939182768451064E-2</v>
      </c>
      <c r="P24" s="3">
        <f>D24/D7</f>
        <v>7.1112120867885945E-2</v>
      </c>
      <c r="Q24" s="3">
        <f>E24/E7</f>
        <v>7.0637333195940025E-2</v>
      </c>
      <c r="R24" s="3">
        <f>F24/F7</f>
        <v>6.375261567077424E-2</v>
      </c>
      <c r="S24" s="3">
        <f>G24/G7</f>
        <v>6.7482855820606674E-2</v>
      </c>
    </row>
    <row r="25" spans="2:19" ht="15" customHeight="1" thickBot="1" x14ac:dyDescent="0.3">
      <c r="B25" s="61" t="s">
        <v>18</v>
      </c>
      <c r="C25" s="67">
        <f>C23-C24</f>
        <v>4822</v>
      </c>
      <c r="D25" s="67">
        <f>D23-D24</f>
        <v>4757</v>
      </c>
      <c r="E25" s="67">
        <f>E23-E24</f>
        <v>5428</v>
      </c>
      <c r="F25" s="67">
        <f>F23-F24</f>
        <v>5560</v>
      </c>
      <c r="G25" s="67">
        <f>G23-G24</f>
        <v>7130</v>
      </c>
      <c r="I25" s="49" t="s">
        <v>4</v>
      </c>
      <c r="J25" s="3">
        <f t="shared" si="7"/>
        <v>-1.3479883865615928E-2</v>
      </c>
      <c r="K25" s="3">
        <f t="shared" si="7"/>
        <v>0.14105528694555391</v>
      </c>
      <c r="L25" s="3">
        <f t="shared" si="7"/>
        <v>2.4318349299926309E-2</v>
      </c>
      <c r="M25" s="3">
        <f t="shared" si="7"/>
        <v>0.28237410071942448</v>
      </c>
      <c r="O25" s="3">
        <f>C25/C7</f>
        <v>0.30547988596769082</v>
      </c>
      <c r="P25" s="3">
        <f>D25/D7</f>
        <v>0.27019198000681588</v>
      </c>
      <c r="Q25" s="3">
        <f>E25/E7</f>
        <v>0.27966407336802512</v>
      </c>
      <c r="R25" s="3">
        <f>F25/F7</f>
        <v>0.25854452452917925</v>
      </c>
      <c r="S25" s="3">
        <f>G25/G7</f>
        <v>0.29997054987588878</v>
      </c>
    </row>
    <row r="26" spans="2:19" ht="15" customHeight="1" x14ac:dyDescent="0.25">
      <c r="B26" s="20"/>
      <c r="C26" s="64"/>
      <c r="D26" s="64"/>
      <c r="E26" s="64"/>
      <c r="F26" s="64"/>
      <c r="G26" s="64"/>
      <c r="I26" s="1"/>
      <c r="J26" s="2"/>
      <c r="K26" s="2"/>
      <c r="L26" s="2"/>
      <c r="M26" s="2"/>
      <c r="O26" s="3"/>
      <c r="P26" s="2"/>
      <c r="Q26" s="2"/>
      <c r="R26" s="2"/>
      <c r="S26" s="2"/>
    </row>
    <row r="27" spans="2:19" ht="15" customHeight="1" thickBot="1" x14ac:dyDescent="0.3">
      <c r="B27" s="58" t="s">
        <v>19</v>
      </c>
      <c r="C27" s="65">
        <f>C25/C28</f>
        <v>10.109014675052411</v>
      </c>
      <c r="D27" s="65">
        <f>D25/D28</f>
        <v>10.12127659574468</v>
      </c>
      <c r="E27" s="65">
        <f>E25/E28</f>
        <v>11.87746170678337</v>
      </c>
      <c r="F27" s="65">
        <f>F25/F28</f>
        <v>12.438478747203579</v>
      </c>
      <c r="G27" s="65">
        <f>G25/G28</f>
        <v>16.737089201877936</v>
      </c>
      <c r="I27" s="1"/>
      <c r="J27" s="2"/>
      <c r="K27" s="2"/>
      <c r="L27" s="2"/>
      <c r="M27" s="2"/>
      <c r="O27" s="2"/>
      <c r="P27" s="2"/>
      <c r="Q27" s="2"/>
      <c r="R27" s="2"/>
      <c r="S27" s="2"/>
    </row>
    <row r="28" spans="2:19" ht="15" customHeight="1" x14ac:dyDescent="0.25">
      <c r="B28" s="20" t="s">
        <v>20</v>
      </c>
      <c r="C28" s="66">
        <v>477</v>
      </c>
      <c r="D28" s="66">
        <v>470</v>
      </c>
      <c r="E28" s="66">
        <v>457</v>
      </c>
      <c r="F28" s="66">
        <v>447</v>
      </c>
      <c r="G28" s="66">
        <v>426</v>
      </c>
      <c r="I28" s="1"/>
      <c r="J28" s="2"/>
      <c r="K28" s="2"/>
      <c r="L28" s="2"/>
      <c r="M28" s="2"/>
      <c r="O28" s="2"/>
      <c r="P28" s="2"/>
      <c r="Q28" s="2"/>
      <c r="R28" s="2"/>
      <c r="S28" s="2"/>
    </row>
    <row r="29" spans="2:19" ht="15" customHeight="1" thickBot="1" x14ac:dyDescent="0.3">
      <c r="B29" s="58" t="s">
        <v>21</v>
      </c>
      <c r="C29" s="65">
        <f>C25/C30</f>
        <v>10.024948024948024</v>
      </c>
      <c r="D29" s="65">
        <f>D25/D30</f>
        <v>10.099787685774947</v>
      </c>
      <c r="E29" s="65">
        <f>E25/E30</f>
        <v>11.825708061002178</v>
      </c>
      <c r="F29" s="65">
        <f>F25/F30</f>
        <v>12.355555555555556</v>
      </c>
      <c r="G29" s="65">
        <f>G25/G30</f>
        <v>16.697892271662763</v>
      </c>
      <c r="I29" s="1"/>
      <c r="J29" s="2"/>
      <c r="K29" s="2"/>
      <c r="L29" s="2"/>
      <c r="M29" s="2"/>
      <c r="O29" s="2"/>
      <c r="P29" s="2"/>
      <c r="Q29" s="2"/>
      <c r="R29" s="2"/>
      <c r="S29" s="2"/>
    </row>
    <row r="30" spans="2:19" ht="15" customHeight="1" x14ac:dyDescent="0.25">
      <c r="B30" s="20" t="s">
        <v>22</v>
      </c>
      <c r="C30" s="66">
        <v>481</v>
      </c>
      <c r="D30" s="66">
        <v>471</v>
      </c>
      <c r="E30" s="66">
        <v>459</v>
      </c>
      <c r="F30" s="66">
        <v>450</v>
      </c>
      <c r="G30" s="66">
        <v>427</v>
      </c>
      <c r="I30" s="1"/>
      <c r="J30" s="2"/>
      <c r="K30" s="2"/>
      <c r="L30" s="2"/>
      <c r="M30" s="2"/>
      <c r="O30" s="2"/>
      <c r="P30" s="2"/>
      <c r="Q30" s="2"/>
      <c r="R30" s="2"/>
      <c r="S30" s="2"/>
    </row>
    <row r="31" spans="2:19" ht="15" customHeight="1" x14ac:dyDescent="0.25">
      <c r="B31" s="20"/>
      <c r="C31" s="64"/>
      <c r="D31" s="64"/>
      <c r="E31" s="64"/>
      <c r="F31" s="64"/>
      <c r="G31" s="64"/>
    </row>
    <row r="32" spans="2:19" ht="15" customHeight="1" x14ac:dyDescent="0.25">
      <c r="B32" s="20"/>
      <c r="C32" s="64"/>
      <c r="D32" s="64"/>
      <c r="E32" s="64"/>
      <c r="F32" s="64"/>
      <c r="G32" s="64"/>
    </row>
    <row r="33" spans="2:7" ht="15" customHeight="1" x14ac:dyDescent="0.25">
      <c r="B33" s="46" t="s">
        <v>23</v>
      </c>
      <c r="C33" s="68">
        <f>C17</f>
        <v>5802</v>
      </c>
      <c r="D33" s="68">
        <f>D17</f>
        <v>6099</v>
      </c>
      <c r="E33" s="68">
        <f>E17</f>
        <v>6650</v>
      </c>
      <c r="F33" s="68">
        <f>F17</f>
        <v>6741</v>
      </c>
      <c r="G33" s="68">
        <f>G17</f>
        <v>8706</v>
      </c>
    </row>
    <row r="34" spans="2:7" ht="15" customHeight="1" thickBot="1" x14ac:dyDescent="0.3">
      <c r="B34" s="47" t="s">
        <v>24</v>
      </c>
      <c r="C34" s="69">
        <f>C17+Cashflow!C9</f>
        <v>6590</v>
      </c>
      <c r="D34" s="69">
        <f>D17+Cashflow!D9</f>
        <v>6955</v>
      </c>
      <c r="E34" s="69">
        <f>E17+Cashflow!E9</f>
        <v>7522</v>
      </c>
      <c r="F34" s="69">
        <f>F17+Cashflow!F9</f>
        <v>7598</v>
      </c>
      <c r="G34" s="69">
        <f>G17+Cashflow!G9</f>
        <v>9524</v>
      </c>
    </row>
  </sheetData>
  <mergeCells count="10">
    <mergeCell ref="B1:B4"/>
    <mergeCell ref="I4:M4"/>
    <mergeCell ref="I1:M2"/>
    <mergeCell ref="O1:S2"/>
    <mergeCell ref="O4:S4"/>
    <mergeCell ref="I3:M3"/>
    <mergeCell ref="O3:S3"/>
    <mergeCell ref="C3:G3"/>
    <mergeCell ref="C1:G2"/>
    <mergeCell ref="C4:G4"/>
  </mergeCells>
  <conditionalFormatting sqref="I7:M7 J8:M9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8">
      <colorScale>
        <cfvo type="percent" val="$I$7"/>
        <cfvo type="max"/>
        <color rgb="FF92D050"/>
        <color rgb="FFFF5050"/>
      </colorScale>
    </cfRule>
  </conditionalFormatting>
  <conditionalFormatting sqref="J7:M9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1:M11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1:M15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2:M12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3:M13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4:M14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5:M15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7:M17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9:M19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9:M21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0:M20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1:M21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3:M23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3:M25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4:M24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5:M25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7:S7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7:S25 I7:M25">
    <cfRule type="colorScale" priority="40">
      <colorScale>
        <cfvo type="min"/>
        <cfvo type="max"/>
        <color rgb="FFF8696B"/>
        <color rgb="FFFCFCFF"/>
      </colorScale>
    </cfRule>
  </conditionalFormatting>
  <conditionalFormatting sqref="O8:S8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9:S9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1:S11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2:S12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3:S13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4:S14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5:S1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7:S1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9:S1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0:S2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3:S2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4:S2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5:S2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79"/>
  </sheetPr>
  <dimension ref="B1:S34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4" sqref="C4:G4"/>
    </sheetView>
  </sheetViews>
  <sheetFormatPr defaultColWidth="8.7109375" defaultRowHeight="15" x14ac:dyDescent="0.25"/>
  <cols>
    <col min="1" max="1" width="3.28515625" customWidth="1"/>
    <col min="2" max="2" width="45.5703125" customWidth="1"/>
    <col min="3" max="6" width="12.5703125" bestFit="1" customWidth="1"/>
    <col min="7" max="7" width="12.28515625" customWidth="1"/>
    <col min="8" max="8" width="4" customWidth="1"/>
    <col min="10" max="10" width="9.7109375" customWidth="1"/>
    <col min="11" max="11" width="9.5703125" bestFit="1" customWidth="1"/>
    <col min="13" max="13" width="9.5703125" bestFit="1" customWidth="1"/>
    <col min="14" max="14" width="3.7109375" customWidth="1"/>
  </cols>
  <sheetData>
    <row r="1" spans="2:19" ht="22.5" customHeight="1" x14ac:dyDescent="0.25">
      <c r="B1" s="113"/>
      <c r="C1" s="109" t="s">
        <v>0</v>
      </c>
      <c r="D1" s="109"/>
      <c r="E1" s="109"/>
      <c r="F1" s="109"/>
      <c r="G1" s="109"/>
    </row>
    <row r="2" spans="2:19" ht="15.75" customHeight="1" x14ac:dyDescent="0.25">
      <c r="B2" s="113"/>
      <c r="C2" s="109"/>
      <c r="D2" s="109"/>
      <c r="E2" s="109"/>
      <c r="F2" s="109"/>
      <c r="G2" s="109"/>
    </row>
    <row r="3" spans="2:19" ht="21" customHeight="1" x14ac:dyDescent="0.25">
      <c r="B3" s="113"/>
      <c r="C3" s="110" t="s">
        <v>179</v>
      </c>
      <c r="D3" s="110"/>
      <c r="E3" s="110"/>
      <c r="F3" s="110"/>
      <c r="G3" s="110"/>
      <c r="I3" s="110" t="s">
        <v>1</v>
      </c>
      <c r="J3" s="110"/>
      <c r="K3" s="110"/>
      <c r="L3" s="110"/>
      <c r="M3" s="110"/>
      <c r="O3" s="110" t="s">
        <v>2</v>
      </c>
      <c r="P3" s="110"/>
      <c r="Q3" s="110"/>
      <c r="R3" s="110"/>
      <c r="S3" s="110"/>
    </row>
    <row r="4" spans="2:19" ht="15.75" customHeight="1" x14ac:dyDescent="0.25">
      <c r="B4" s="113"/>
      <c r="C4" s="111" t="s">
        <v>145</v>
      </c>
      <c r="D4" s="111"/>
      <c r="E4" s="111"/>
      <c r="F4" s="111"/>
      <c r="G4" s="111"/>
      <c r="I4" s="111" t="s">
        <v>146</v>
      </c>
      <c r="J4" s="111"/>
      <c r="K4" s="111"/>
      <c r="L4" s="111"/>
      <c r="M4" s="111"/>
      <c r="O4" s="111" t="s">
        <v>146</v>
      </c>
      <c r="P4" s="111"/>
      <c r="Q4" s="111"/>
      <c r="R4" s="111"/>
      <c r="S4" s="111"/>
    </row>
    <row r="5" spans="2:19" ht="15" customHeight="1" x14ac:dyDescent="0.25">
      <c r="B5" s="28" t="s">
        <v>64</v>
      </c>
      <c r="C5" s="29">
        <v>2021</v>
      </c>
      <c r="D5" s="29">
        <v>2022</v>
      </c>
      <c r="E5" s="29">
        <v>2023</v>
      </c>
      <c r="F5" s="28">
        <v>2024</v>
      </c>
      <c r="G5" s="29">
        <v>2025</v>
      </c>
      <c r="I5" s="52">
        <v>2021</v>
      </c>
      <c r="J5" s="52">
        <v>2022</v>
      </c>
      <c r="K5" s="52">
        <v>2023</v>
      </c>
      <c r="L5" s="52">
        <v>2024</v>
      </c>
      <c r="M5" s="52">
        <v>2025</v>
      </c>
      <c r="O5" s="29">
        <v>2021</v>
      </c>
      <c r="P5" s="29">
        <v>2022</v>
      </c>
      <c r="Q5" s="29">
        <v>2023</v>
      </c>
      <c r="R5" s="28">
        <v>2024</v>
      </c>
      <c r="S5" s="29">
        <v>2025</v>
      </c>
    </row>
    <row r="6" spans="2:19" ht="15" customHeight="1" x14ac:dyDescent="0.25">
      <c r="B6" s="4"/>
      <c r="C6" s="4"/>
      <c r="D6" s="4"/>
      <c r="E6" s="4"/>
      <c r="F6" s="4"/>
      <c r="G6" s="4"/>
    </row>
    <row r="7" spans="2:19" ht="15" customHeight="1" x14ac:dyDescent="0.25">
      <c r="B7" s="51" t="s">
        <v>25</v>
      </c>
      <c r="C7" s="70">
        <f>INDEX(Cashflow!C8:C28,MATCH(Cashflow!$B$28,Cashflow!$B$8:$B$28,0))</f>
        <v>3844</v>
      </c>
      <c r="D7" s="70">
        <f>INDEX(Cashflow!D8:D28,MATCH(Cashflow!$B$28,Cashflow!$B$8:$B$28,0))</f>
        <v>4236</v>
      </c>
      <c r="E7" s="70">
        <f>INDEX(Cashflow!E8:E28,MATCH(Cashflow!$B$28,Cashflow!$B$8:$B$28,0))</f>
        <v>7141</v>
      </c>
      <c r="F7" s="70">
        <f>INDEX(Cashflow!F8:F28,MATCH(Cashflow!$B$28,Cashflow!$B$8:$B$28,0))</f>
        <v>7613</v>
      </c>
      <c r="G7" s="70">
        <f>INDEX(Cashflow!G8:G28,MATCH(Cashflow!$B$28,Cashflow!$B$8:$B$28,0))</f>
        <v>5431</v>
      </c>
      <c r="I7" s="54" t="s">
        <v>4</v>
      </c>
      <c r="J7" s="3">
        <f t="shared" ref="J7:M9" si="0">(D7-C7)/C7</f>
        <v>0.10197710718002082</v>
      </c>
      <c r="K7" s="3">
        <f t="shared" si="0"/>
        <v>0.68578847969782819</v>
      </c>
      <c r="L7" s="3">
        <f t="shared" si="0"/>
        <v>6.6097185268169725E-2</v>
      </c>
      <c r="M7" s="3">
        <f t="shared" si="0"/>
        <v>-0.28661500065677131</v>
      </c>
      <c r="O7" s="3">
        <f>C7/C17</f>
        <v>0.14111082559377408</v>
      </c>
      <c r="P7" s="3">
        <f>D7/D17</f>
        <v>0.15593594699061292</v>
      </c>
      <c r="Q7" s="3">
        <f>E7/E17</f>
        <v>0.2397998589610128</v>
      </c>
      <c r="R7" s="3">
        <f>F7/F17</f>
        <v>0.25183592457823356</v>
      </c>
      <c r="S7" s="3">
        <f>G7/G17</f>
        <v>0.18412666124220234</v>
      </c>
    </row>
    <row r="8" spans="2:19" ht="15" customHeight="1" x14ac:dyDescent="0.25">
      <c r="B8" s="4" t="s">
        <v>26</v>
      </c>
      <c r="C8" s="71">
        <v>4825</v>
      </c>
      <c r="D8" s="71">
        <v>4760</v>
      </c>
      <c r="E8" s="71">
        <v>3943</v>
      </c>
      <c r="F8" s="71">
        <v>3619</v>
      </c>
      <c r="G8" s="71">
        <v>4732</v>
      </c>
      <c r="I8" s="54" t="s">
        <v>4</v>
      </c>
      <c r="J8" s="3">
        <f t="shared" si="0"/>
        <v>-1.3471502590673576E-2</v>
      </c>
      <c r="K8" s="3">
        <f t="shared" si="0"/>
        <v>-0.17163865546218487</v>
      </c>
      <c r="L8" s="3">
        <f t="shared" si="0"/>
        <v>-8.2170935835658127E-2</v>
      </c>
      <c r="M8" s="3">
        <f t="shared" si="0"/>
        <v>0.30754352030947774</v>
      </c>
      <c r="O8" s="3">
        <f>C8/C17</f>
        <v>0.17712271943027055</v>
      </c>
      <c r="P8" s="3">
        <f>D8/D17</f>
        <v>0.1752254739554574</v>
      </c>
      <c r="Q8" s="3">
        <f>E8/E17</f>
        <v>0.13240874441720676</v>
      </c>
      <c r="R8" s="3">
        <f>F8/F17</f>
        <v>0.11971551438967913</v>
      </c>
      <c r="S8" s="3">
        <f>G8/G17</f>
        <v>0.16042853268239762</v>
      </c>
    </row>
    <row r="9" spans="2:19" ht="15" customHeight="1" thickBot="1" x14ac:dyDescent="0.3">
      <c r="B9" s="59" t="s">
        <v>27</v>
      </c>
      <c r="C9" s="72">
        <f>C7+C8</f>
        <v>8669</v>
      </c>
      <c r="D9" s="72">
        <f>D7+D8</f>
        <v>8996</v>
      </c>
      <c r="E9" s="72">
        <f>E7+E8</f>
        <v>11084</v>
      </c>
      <c r="F9" s="72">
        <f>F7+F8</f>
        <v>11232</v>
      </c>
      <c r="G9" s="72">
        <f>G7+G8</f>
        <v>10163</v>
      </c>
      <c r="I9" s="54" t="s">
        <v>4</v>
      </c>
      <c r="J9" s="3">
        <f t="shared" si="0"/>
        <v>3.7720613680932054E-2</v>
      </c>
      <c r="K9" s="3">
        <f t="shared" si="0"/>
        <v>0.23210315695864828</v>
      </c>
      <c r="L9" s="3">
        <f t="shared" si="0"/>
        <v>1.335258029592205E-2</v>
      </c>
      <c r="M9" s="3">
        <f t="shared" si="0"/>
        <v>-9.5174501424501429E-2</v>
      </c>
      <c r="O9" s="3">
        <f>C9/C17</f>
        <v>0.31823354502404466</v>
      </c>
      <c r="P9" s="3">
        <f>D9/D17</f>
        <v>0.33116142094607032</v>
      </c>
      <c r="Q9" s="3">
        <f>E9/E17</f>
        <v>0.37220860337821954</v>
      </c>
      <c r="R9" s="3">
        <f>F9/F17</f>
        <v>0.37155143896791265</v>
      </c>
      <c r="S9" s="3">
        <f>G9/G17</f>
        <v>0.34455519392459993</v>
      </c>
    </row>
    <row r="10" spans="2:19" ht="15" customHeight="1" x14ac:dyDescent="0.25">
      <c r="B10" s="4"/>
      <c r="C10" s="71"/>
      <c r="D10" s="71"/>
      <c r="E10" s="71"/>
      <c r="F10" s="71"/>
      <c r="G10" s="71"/>
      <c r="I10" s="1"/>
      <c r="J10" s="3"/>
      <c r="K10" s="3"/>
      <c r="L10" s="3"/>
      <c r="M10" s="3"/>
      <c r="O10" s="3"/>
      <c r="P10" s="3"/>
      <c r="Q10" s="3"/>
      <c r="R10" s="3"/>
      <c r="S10" s="3"/>
    </row>
    <row r="11" spans="2:19" ht="15" customHeight="1" x14ac:dyDescent="0.25">
      <c r="B11" s="4" t="s">
        <v>28</v>
      </c>
      <c r="C11" s="71">
        <v>1673</v>
      </c>
      <c r="D11" s="71">
        <v>1908</v>
      </c>
      <c r="E11" s="71">
        <v>2030</v>
      </c>
      <c r="F11" s="71">
        <v>1936</v>
      </c>
      <c r="G11" s="71">
        <v>1873</v>
      </c>
      <c r="I11" s="54" t="s">
        <v>4</v>
      </c>
      <c r="J11" s="3">
        <f t="shared" ref="J11:M15" si="1">(D11-C11)/C11</f>
        <v>0.14046622833233713</v>
      </c>
      <c r="K11" s="3">
        <f t="shared" si="1"/>
        <v>6.3941299790356398E-2</v>
      </c>
      <c r="L11" s="3">
        <f t="shared" si="1"/>
        <v>-4.6305418719211823E-2</v>
      </c>
      <c r="M11" s="3">
        <f t="shared" si="1"/>
        <v>-3.2541322314049589E-2</v>
      </c>
      <c r="O11" s="3">
        <f>C11/C17</f>
        <v>6.1414779193128002E-2</v>
      </c>
      <c r="P11" s="3">
        <f>D11/D17</f>
        <v>7.0237437879624512E-2</v>
      </c>
      <c r="Q11" s="3">
        <f>E11/E17</f>
        <v>6.8168843816112032E-2</v>
      </c>
      <c r="R11" s="3">
        <f>F11/F17</f>
        <v>6.4042342044326822E-2</v>
      </c>
      <c r="S11" s="3">
        <f>G11/G17</f>
        <v>6.350013561160836E-2</v>
      </c>
    </row>
    <row r="12" spans="2:19" ht="15" customHeight="1" x14ac:dyDescent="0.25">
      <c r="B12" s="4" t="s">
        <v>29</v>
      </c>
      <c r="C12" s="71">
        <v>12668</v>
      </c>
      <c r="D12" s="71">
        <v>12787</v>
      </c>
      <c r="E12" s="71">
        <v>12805</v>
      </c>
      <c r="F12" s="71">
        <v>12788</v>
      </c>
      <c r="G12" s="71">
        <v>12857</v>
      </c>
      <c r="I12" s="54" t="s">
        <v>4</v>
      </c>
      <c r="J12" s="3">
        <f t="shared" si="1"/>
        <v>9.3937480265235233E-3</v>
      </c>
      <c r="K12" s="3">
        <f t="shared" si="1"/>
        <v>1.4076796746695863E-3</v>
      </c>
      <c r="L12" s="3">
        <f t="shared" si="1"/>
        <v>-1.3276064037485357E-3</v>
      </c>
      <c r="M12" s="3">
        <f t="shared" si="1"/>
        <v>5.3956834532374104E-3</v>
      </c>
      <c r="O12" s="3">
        <f>C12/C17</f>
        <v>0.46503432326272898</v>
      </c>
      <c r="P12" s="3">
        <f>D12/D17</f>
        <v>0.4707159948463096</v>
      </c>
      <c r="Q12" s="3">
        <f>E12/E17</f>
        <v>0.43000100742133718</v>
      </c>
      <c r="R12" s="3">
        <f>F12/F17</f>
        <v>0.42302348660271255</v>
      </c>
      <c r="S12" s="3">
        <f>G12/G17</f>
        <v>0.43588961215080013</v>
      </c>
    </row>
    <row r="13" spans="2:19" ht="15" customHeight="1" x14ac:dyDescent="0.25">
      <c r="B13" s="4" t="s">
        <v>30</v>
      </c>
      <c r="C13" s="71">
        <v>1820</v>
      </c>
      <c r="D13" s="71">
        <v>1449</v>
      </c>
      <c r="E13" s="71">
        <v>1088</v>
      </c>
      <c r="F13" s="71">
        <v>782</v>
      </c>
      <c r="G13" s="71">
        <v>495</v>
      </c>
      <c r="I13" s="54" t="s">
        <v>4</v>
      </c>
      <c r="J13" s="3">
        <f t="shared" si="1"/>
        <v>-0.20384615384615384</v>
      </c>
      <c r="K13" s="3">
        <f t="shared" si="1"/>
        <v>-0.24913733609385783</v>
      </c>
      <c r="L13" s="3">
        <f t="shared" si="1"/>
        <v>-0.28125</v>
      </c>
      <c r="M13" s="3">
        <f t="shared" si="1"/>
        <v>-0.36700767263427109</v>
      </c>
      <c r="O13" s="3">
        <f>C13/C17</f>
        <v>6.6811056862817075E-2</v>
      </c>
      <c r="P13" s="3">
        <f>D13/D17</f>
        <v>5.3340695748205415E-2</v>
      </c>
      <c r="Q13" s="3">
        <f>E13/E17</f>
        <v>3.6535813828536885E-2</v>
      </c>
      <c r="R13" s="3">
        <f>F13/F17</f>
        <v>2.5868342705921272E-2</v>
      </c>
      <c r="S13" s="3">
        <f>G13/G17</f>
        <v>1.6781936533767292E-2</v>
      </c>
    </row>
    <row r="14" spans="2:19" ht="15" customHeight="1" x14ac:dyDescent="0.25">
      <c r="B14" s="4" t="s">
        <v>31</v>
      </c>
      <c r="C14" s="71">
        <v>2411</v>
      </c>
      <c r="D14" s="71">
        <v>2025</v>
      </c>
      <c r="E14" s="71">
        <v>2772</v>
      </c>
      <c r="F14" s="71">
        <v>3492</v>
      </c>
      <c r="G14" s="71">
        <v>4108</v>
      </c>
      <c r="I14" s="54" t="s">
        <v>4</v>
      </c>
      <c r="J14" s="3">
        <f t="shared" si="1"/>
        <v>-0.16009954375777685</v>
      </c>
      <c r="K14" s="3">
        <f t="shared" si="1"/>
        <v>0.36888888888888888</v>
      </c>
      <c r="L14" s="3">
        <f t="shared" si="1"/>
        <v>0.25974025974025972</v>
      </c>
      <c r="M14" s="3">
        <f t="shared" si="1"/>
        <v>0.17640320733104239</v>
      </c>
      <c r="O14" s="3">
        <f>C14/C17</f>
        <v>8.8506295657281298E-2</v>
      </c>
      <c r="P14" s="3">
        <f>D14/D17</f>
        <v>7.4544450579790172E-2</v>
      </c>
      <c r="Q14" s="3">
        <f>E14/E17</f>
        <v>9.3085731555794346E-2</v>
      </c>
      <c r="R14" s="3">
        <f>F14/F17</f>
        <v>0.11551438967912669</v>
      </c>
      <c r="S14" s="3">
        <f>G14/G17</f>
        <v>0.1392731217792243</v>
      </c>
    </row>
    <row r="15" spans="2:19" ht="15" customHeight="1" thickBot="1" x14ac:dyDescent="0.3">
      <c r="B15" s="59" t="s">
        <v>32</v>
      </c>
      <c r="C15" s="72">
        <f>SUM(C11:C14)</f>
        <v>18572</v>
      </c>
      <c r="D15" s="72">
        <f>SUM(D11:D14)</f>
        <v>18169</v>
      </c>
      <c r="E15" s="72">
        <f>SUM(E11:E14)</f>
        <v>18695</v>
      </c>
      <c r="F15" s="72">
        <f>SUM(F11:F14)</f>
        <v>18998</v>
      </c>
      <c r="G15" s="72">
        <f>SUM(G11:G14)</f>
        <v>19333</v>
      </c>
      <c r="I15" s="54" t="s">
        <v>4</v>
      </c>
      <c r="J15" s="3">
        <f t="shared" si="1"/>
        <v>-2.1699332328236055E-2</v>
      </c>
      <c r="K15" s="3">
        <f t="shared" si="1"/>
        <v>2.895041003907755E-2</v>
      </c>
      <c r="L15" s="3">
        <f t="shared" si="1"/>
        <v>1.620754212356245E-2</v>
      </c>
      <c r="M15" s="3">
        <f t="shared" si="1"/>
        <v>1.7633435098431415E-2</v>
      </c>
      <c r="O15" s="3">
        <f>C15/C17</f>
        <v>0.68176645497595534</v>
      </c>
      <c r="P15" s="3">
        <f>D15/D17</f>
        <v>0.66883857905392974</v>
      </c>
      <c r="Q15" s="3">
        <f>E15/E17</f>
        <v>0.62779139662178041</v>
      </c>
      <c r="R15" s="3">
        <f>F15/F17</f>
        <v>0.62844856103208735</v>
      </c>
      <c r="S15" s="3">
        <f>G15/G17</f>
        <v>0.65544480607540001</v>
      </c>
    </row>
    <row r="16" spans="2:19" ht="15" customHeight="1" x14ac:dyDescent="0.25">
      <c r="B16" s="4"/>
      <c r="C16" s="71"/>
      <c r="D16" s="71"/>
      <c r="E16" s="71"/>
      <c r="F16" s="71"/>
      <c r="G16" s="71"/>
      <c r="I16" s="1"/>
      <c r="J16" s="3"/>
      <c r="K16" s="3"/>
      <c r="L16" s="3"/>
      <c r="M16" s="3"/>
      <c r="O16" s="3"/>
      <c r="P16" s="3"/>
      <c r="Q16" s="3"/>
      <c r="R16" s="3"/>
      <c r="S16" s="3"/>
    </row>
    <row r="17" spans="2:19" ht="15" customHeight="1" thickBot="1" x14ac:dyDescent="0.3">
      <c r="B17" s="59" t="s">
        <v>33</v>
      </c>
      <c r="C17" s="72">
        <f>C9+C15</f>
        <v>27241</v>
      </c>
      <c r="D17" s="72">
        <f>D9+D15</f>
        <v>27165</v>
      </c>
      <c r="E17" s="72">
        <f>E9+E15</f>
        <v>29779</v>
      </c>
      <c r="F17" s="72">
        <f>F9+F15</f>
        <v>30230</v>
      </c>
      <c r="G17" s="72">
        <f>G9+G15</f>
        <v>29496</v>
      </c>
      <c r="I17" s="54" t="s">
        <v>4</v>
      </c>
      <c r="J17" s="3">
        <f>(D17-C17)/C17</f>
        <v>-2.7899122646011525E-3</v>
      </c>
      <c r="K17" s="3">
        <f>(E17-D17)/D17</f>
        <v>9.6226762378060007E-2</v>
      </c>
      <c r="L17" s="3">
        <f>(F17-E17)/E17</f>
        <v>1.5144900768998288E-2</v>
      </c>
      <c r="M17" s="3">
        <f>(G17-F17)/F17</f>
        <v>-2.4280516043665233E-2</v>
      </c>
      <c r="O17" s="3">
        <f>C17/C17</f>
        <v>1</v>
      </c>
      <c r="P17" s="3">
        <f>D17/D17</f>
        <v>1</v>
      </c>
      <c r="Q17" s="3">
        <f>E17/E17</f>
        <v>1</v>
      </c>
      <c r="R17" s="3">
        <f>F17/F17</f>
        <v>1</v>
      </c>
      <c r="S17" s="3">
        <f>G17/G17</f>
        <v>1</v>
      </c>
    </row>
    <row r="18" spans="2:19" ht="15" customHeight="1" x14ac:dyDescent="0.25">
      <c r="B18" s="4"/>
      <c r="C18" s="71"/>
      <c r="D18" s="71"/>
      <c r="E18" s="71"/>
      <c r="F18" s="71"/>
      <c r="G18" s="71"/>
      <c r="I18" s="1"/>
      <c r="J18" s="3"/>
      <c r="K18" s="3"/>
      <c r="L18" s="3"/>
      <c r="M18" s="3"/>
      <c r="O18" s="3"/>
      <c r="P18" s="3"/>
      <c r="Q18" s="3"/>
      <c r="R18" s="3"/>
      <c r="S18" s="3"/>
    </row>
    <row r="19" spans="2:19" ht="15" customHeight="1" x14ac:dyDescent="0.25">
      <c r="B19" s="4" t="s">
        <v>34</v>
      </c>
      <c r="C19" s="71">
        <v>312</v>
      </c>
      <c r="D19" s="71">
        <v>379</v>
      </c>
      <c r="E19" s="71">
        <v>314</v>
      </c>
      <c r="F19" s="71">
        <v>361</v>
      </c>
      <c r="G19" s="71">
        <v>417</v>
      </c>
      <c r="I19" s="54" t="s">
        <v>4</v>
      </c>
      <c r="J19" s="3">
        <f>(D19-C19)/C19</f>
        <v>0.21474358974358973</v>
      </c>
      <c r="K19" s="3">
        <f>(E19-D19)/D19</f>
        <v>-0.17150395778364116</v>
      </c>
      <c r="L19" s="53">
        <f>(F19-E19)/E19</f>
        <v>0.14968152866242038</v>
      </c>
      <c r="M19" s="3">
        <f>(G19-F19)/F19</f>
        <v>0.15512465373961218</v>
      </c>
      <c r="O19" s="3">
        <f>C19/C17</f>
        <v>1.1453324033625785E-2</v>
      </c>
      <c r="P19" s="3">
        <f>D19/D17</f>
        <v>1.3951776182587888E-2</v>
      </c>
      <c r="Q19" s="3">
        <f>E19/E17</f>
        <v>1.0544343329191712E-2</v>
      </c>
      <c r="R19" s="3">
        <f>F19/F17</f>
        <v>1.1941779689050611E-2</v>
      </c>
      <c r="S19" s="3">
        <f>G19/G17</f>
        <v>1.4137510170870627E-2</v>
      </c>
    </row>
    <row r="20" spans="2:19" ht="15" customHeight="1" x14ac:dyDescent="0.25">
      <c r="B20" s="4" t="s">
        <v>35</v>
      </c>
      <c r="C20" s="71">
        <v>0</v>
      </c>
      <c r="D20" s="71">
        <v>500</v>
      </c>
      <c r="E20" s="71">
        <v>0</v>
      </c>
      <c r="F20" s="71">
        <v>1499</v>
      </c>
      <c r="G20" s="71">
        <v>0</v>
      </c>
      <c r="I20" s="54" t="s">
        <v>4</v>
      </c>
      <c r="J20" s="48" t="s">
        <v>4</v>
      </c>
      <c r="K20" s="3">
        <f>(E20-D20)/D20</f>
        <v>-1</v>
      </c>
      <c r="L20" s="48" t="s">
        <v>4</v>
      </c>
      <c r="M20" s="3">
        <f>(G20-F20)/F20</f>
        <v>-1</v>
      </c>
      <c r="O20" s="3">
        <f>C20/C17</f>
        <v>0</v>
      </c>
      <c r="P20" s="3">
        <f>D20/D17</f>
        <v>1.8406037180195105E-2</v>
      </c>
      <c r="Q20" s="3">
        <f>E20/E17</f>
        <v>0</v>
      </c>
      <c r="R20" s="3">
        <f>F20/F17</f>
        <v>4.9586503473370826E-2</v>
      </c>
      <c r="S20" s="3">
        <f>G20/G17</f>
        <v>0</v>
      </c>
    </row>
    <row r="21" spans="2:19" ht="15" customHeight="1" x14ac:dyDescent="0.25">
      <c r="B21" s="4" t="s">
        <v>36</v>
      </c>
      <c r="C21" s="71">
        <v>6620</v>
      </c>
      <c r="D21" s="71">
        <v>7249</v>
      </c>
      <c r="E21" s="71">
        <v>7937</v>
      </c>
      <c r="F21" s="71">
        <v>8661</v>
      </c>
      <c r="G21" s="71">
        <v>9783</v>
      </c>
      <c r="I21" s="54" t="s">
        <v>4</v>
      </c>
      <c r="J21" s="3">
        <f>(D21-C21)/C21</f>
        <v>9.5015105740181266E-2</v>
      </c>
      <c r="K21" s="3">
        <f>(E21-D21)/D21</f>
        <v>9.4909642709339215E-2</v>
      </c>
      <c r="L21" s="3">
        <f>(F21-E21)/E21</f>
        <v>9.1218344462643319E-2</v>
      </c>
      <c r="M21" s="3">
        <f>(G21-F21)/F21</f>
        <v>0.12954624177346727</v>
      </c>
      <c r="O21" s="3">
        <f>C21/C17</f>
        <v>0.24301604199552146</v>
      </c>
      <c r="P21" s="3">
        <f>D21/D17</f>
        <v>0.26685072703846863</v>
      </c>
      <c r="Q21" s="3">
        <f>E21/E17</f>
        <v>0.2665301051076262</v>
      </c>
      <c r="R21" s="3">
        <f>F21/F17</f>
        <v>0.28650347337082366</v>
      </c>
      <c r="S21" s="3">
        <f>G21/G17</f>
        <v>0.33167209113100082</v>
      </c>
    </row>
    <row r="22" spans="2:19" ht="15" customHeight="1" thickBot="1" x14ac:dyDescent="0.3">
      <c r="B22" s="59" t="s">
        <v>37</v>
      </c>
      <c r="C22" s="72">
        <f>SUM(C19:C21)</f>
        <v>6932</v>
      </c>
      <c r="D22" s="72">
        <f>SUM(D19:D21)</f>
        <v>8128</v>
      </c>
      <c r="E22" s="72">
        <f>SUM(E19:E21)</f>
        <v>8251</v>
      </c>
      <c r="F22" s="72">
        <f>SUM(F19:F21)</f>
        <v>10521</v>
      </c>
      <c r="G22" s="72">
        <f>SUM(G19:G21)</f>
        <v>10200</v>
      </c>
      <c r="I22" s="54" t="s">
        <v>4</v>
      </c>
      <c r="J22" s="3">
        <f>(D22-C22)/C22</f>
        <v>0.172533179457588</v>
      </c>
      <c r="K22" s="3">
        <f>(E22-D22)/D22</f>
        <v>1.5132874015748031E-2</v>
      </c>
      <c r="L22" s="3">
        <f>(F22-E22)/E22</f>
        <v>0.27511816749484913</v>
      </c>
      <c r="M22" s="3">
        <f>(G22-F22)/F22</f>
        <v>-3.0510407755916739E-2</v>
      </c>
      <c r="O22" s="3">
        <f>C22/C17</f>
        <v>0.25446936602914721</v>
      </c>
      <c r="P22" s="3">
        <f>D22/D17</f>
        <v>0.29920854040125161</v>
      </c>
      <c r="Q22" s="3">
        <f>E22/E17</f>
        <v>0.27707444843681789</v>
      </c>
      <c r="R22" s="3">
        <f>F22/F17</f>
        <v>0.34803175653324514</v>
      </c>
      <c r="S22" s="3">
        <f>G22/G17</f>
        <v>0.34580960130187144</v>
      </c>
    </row>
    <row r="23" spans="2:19" ht="15" customHeight="1" x14ac:dyDescent="0.25">
      <c r="B23" s="4"/>
      <c r="C23" s="71"/>
      <c r="D23" s="71"/>
      <c r="E23" s="71"/>
      <c r="F23" s="71"/>
      <c r="G23" s="71"/>
      <c r="I23" s="1"/>
      <c r="J23" s="3"/>
      <c r="K23" s="3"/>
      <c r="L23" s="3"/>
      <c r="M23" s="3"/>
      <c r="O23" s="3"/>
      <c r="P23" s="3"/>
      <c r="Q23" s="3"/>
      <c r="R23" s="3"/>
      <c r="S23" s="3"/>
    </row>
    <row r="24" spans="2:19" ht="15" customHeight="1" x14ac:dyDescent="0.25">
      <c r="B24" s="4" t="s">
        <v>38</v>
      </c>
      <c r="C24" s="71">
        <v>4123</v>
      </c>
      <c r="D24" s="71">
        <v>3629</v>
      </c>
      <c r="E24" s="71">
        <v>3634</v>
      </c>
      <c r="F24" s="71">
        <v>4129</v>
      </c>
      <c r="G24" s="71">
        <v>6210</v>
      </c>
      <c r="I24" s="54" t="s">
        <v>4</v>
      </c>
      <c r="J24" s="3">
        <f t="shared" ref="J24:M27" si="2">(D24-C24)/C24</f>
        <v>-0.11981566820276497</v>
      </c>
      <c r="K24" s="3">
        <f t="shared" si="2"/>
        <v>1.3777900248002205E-3</v>
      </c>
      <c r="L24" s="3">
        <f t="shared" si="2"/>
        <v>0.13621353880022014</v>
      </c>
      <c r="M24" s="3">
        <f t="shared" si="2"/>
        <v>0.50399612496972634</v>
      </c>
      <c r="O24" s="3">
        <f>C24/C17</f>
        <v>0.15135274035461252</v>
      </c>
      <c r="P24" s="3">
        <f>D24/D17</f>
        <v>0.13359101785385608</v>
      </c>
      <c r="Q24" s="3">
        <f>E24/E17</f>
        <v>0.12203230464421236</v>
      </c>
      <c r="R24" s="3">
        <f>F24/F17</f>
        <v>0.13658617267614953</v>
      </c>
      <c r="S24" s="3">
        <f>G24/G17</f>
        <v>0.21053702196908056</v>
      </c>
    </row>
    <row r="25" spans="2:19" ht="15" customHeight="1" x14ac:dyDescent="0.25">
      <c r="B25" s="4" t="s">
        <v>39</v>
      </c>
      <c r="C25" s="71">
        <v>534</v>
      </c>
      <c r="D25" s="71">
        <v>530</v>
      </c>
      <c r="E25" s="71">
        <v>514</v>
      </c>
      <c r="F25" s="71">
        <v>548</v>
      </c>
      <c r="G25" s="71">
        <v>469</v>
      </c>
      <c r="I25" s="54" t="s">
        <v>4</v>
      </c>
      <c r="J25" s="3">
        <f t="shared" si="2"/>
        <v>-7.4906367041198503E-3</v>
      </c>
      <c r="K25" s="3">
        <f t="shared" si="2"/>
        <v>-3.0188679245283019E-2</v>
      </c>
      <c r="L25" s="3">
        <f t="shared" si="2"/>
        <v>6.6147859922178989E-2</v>
      </c>
      <c r="M25" s="3">
        <f t="shared" si="2"/>
        <v>-0.14416058394160583</v>
      </c>
      <c r="O25" s="3">
        <f>C25/C17</f>
        <v>1.9602804596013362E-2</v>
      </c>
      <c r="P25" s="3">
        <f>D25/D17</f>
        <v>1.951039941100681E-2</v>
      </c>
      <c r="Q25" s="3">
        <f>E25/E17</f>
        <v>1.7260485577084522E-2</v>
      </c>
      <c r="R25" s="3">
        <f>F25/F17</f>
        <v>1.812768772742309E-2</v>
      </c>
      <c r="S25" s="3">
        <f>G25/G17</f>
        <v>1.5900461079468402E-2</v>
      </c>
    </row>
    <row r="26" spans="2:19" ht="15" customHeight="1" x14ac:dyDescent="0.25">
      <c r="B26" s="4" t="s">
        <v>40</v>
      </c>
      <c r="C26" s="71">
        <v>855</v>
      </c>
      <c r="D26" s="71">
        <v>827</v>
      </c>
      <c r="E26" s="71">
        <v>862</v>
      </c>
      <c r="F26" s="71">
        <v>927</v>
      </c>
      <c r="G26" s="71">
        <v>994</v>
      </c>
      <c r="I26" s="54" t="s">
        <v>4</v>
      </c>
      <c r="J26" s="3">
        <f t="shared" si="2"/>
        <v>-3.2748538011695909E-2</v>
      </c>
      <c r="K26" s="3">
        <f t="shared" si="2"/>
        <v>4.2321644498186213E-2</v>
      </c>
      <c r="L26" s="3">
        <f t="shared" si="2"/>
        <v>7.5406032482598612E-2</v>
      </c>
      <c r="M26" s="3">
        <f t="shared" si="2"/>
        <v>7.2276159654800429E-2</v>
      </c>
      <c r="O26" s="3">
        <f>C26/C17</f>
        <v>3.1386512976762967E-2</v>
      </c>
      <c r="P26" s="3">
        <f>D26/D17</f>
        <v>3.0443585496042702E-2</v>
      </c>
      <c r="Q26" s="3">
        <f>E26/E17</f>
        <v>2.8946573088418012E-2</v>
      </c>
      <c r="R26" s="3">
        <f>F26/F17</f>
        <v>3.0664902414819714E-2</v>
      </c>
      <c r="S26" s="3">
        <f>G26/G17</f>
        <v>3.3699484675888257E-2</v>
      </c>
    </row>
    <row r="27" spans="2:19" ht="15" customHeight="1" thickBot="1" x14ac:dyDescent="0.3">
      <c r="B27" s="59" t="s">
        <v>41</v>
      </c>
      <c r="C27" s="72">
        <f>SUM(C23:C26)</f>
        <v>5512</v>
      </c>
      <c r="D27" s="72">
        <f>SUM(D23:D26)</f>
        <v>4986</v>
      </c>
      <c r="E27" s="72">
        <f>SUM(E23:E26)</f>
        <v>5010</v>
      </c>
      <c r="F27" s="72">
        <f>SUM(F23:F26)</f>
        <v>5604</v>
      </c>
      <c r="G27" s="72">
        <f>SUM(G23:G26)</f>
        <v>7673</v>
      </c>
      <c r="I27" s="54" t="s">
        <v>4</v>
      </c>
      <c r="J27" s="3">
        <f t="shared" si="2"/>
        <v>-9.5428156748911461E-2</v>
      </c>
      <c r="K27" s="3">
        <f t="shared" si="2"/>
        <v>4.8134777376654635E-3</v>
      </c>
      <c r="L27" s="3">
        <f t="shared" si="2"/>
        <v>0.118562874251497</v>
      </c>
      <c r="M27" s="3">
        <f t="shared" si="2"/>
        <v>0.36920057102069948</v>
      </c>
      <c r="O27" s="3">
        <f>C27/C17</f>
        <v>0.20234205792738885</v>
      </c>
      <c r="P27" s="3">
        <f>D27/D17</f>
        <v>0.18354500276090557</v>
      </c>
      <c r="Q27" s="3">
        <f>E27/E17</f>
        <v>0.1682393633097149</v>
      </c>
      <c r="R27" s="3">
        <f>F27/F17</f>
        <v>0.18537876281839233</v>
      </c>
      <c r="S27" s="3">
        <f>G27/G17</f>
        <v>0.26013696772443723</v>
      </c>
    </row>
    <row r="28" spans="2:19" ht="15" customHeight="1" x14ac:dyDescent="0.25">
      <c r="B28" s="4"/>
      <c r="C28" s="71"/>
      <c r="D28" s="71"/>
      <c r="E28" s="71"/>
      <c r="F28" s="71"/>
      <c r="G28" s="71"/>
      <c r="I28" s="1"/>
      <c r="J28" s="3"/>
      <c r="K28" s="3"/>
      <c r="L28" s="3"/>
      <c r="M28" s="3"/>
      <c r="O28" s="3"/>
      <c r="P28" s="3"/>
      <c r="Q28" s="3"/>
      <c r="R28" s="3"/>
      <c r="S28" s="3"/>
    </row>
    <row r="29" spans="2:19" ht="15" customHeight="1" thickBot="1" x14ac:dyDescent="0.3">
      <c r="B29" s="59" t="s">
        <v>42</v>
      </c>
      <c r="C29" s="72">
        <f>C22+C27</f>
        <v>12444</v>
      </c>
      <c r="D29" s="72">
        <f>D22+D27</f>
        <v>13114</v>
      </c>
      <c r="E29" s="72">
        <f>E22+E27</f>
        <v>13261</v>
      </c>
      <c r="F29" s="72">
        <f>F22+F27</f>
        <v>16125</v>
      </c>
      <c r="G29" s="72">
        <f>G22+G27</f>
        <v>17873</v>
      </c>
      <c r="I29" s="54" t="s">
        <v>4</v>
      </c>
      <c r="J29" s="3">
        <f>(D29-C29)/C29</f>
        <v>5.3841208614593378E-2</v>
      </c>
      <c r="K29" s="3">
        <f>(E29-D29)/D29</f>
        <v>1.120939454018606E-2</v>
      </c>
      <c r="L29" s="3">
        <f>(F29-E29)/E29</f>
        <v>0.21597164618052936</v>
      </c>
      <c r="M29" s="3">
        <f>(G29-F29)/F29</f>
        <v>0.1084031007751938</v>
      </c>
      <c r="O29" s="3">
        <f>C29/C17</f>
        <v>0.45681142395653612</v>
      </c>
      <c r="P29" s="3">
        <f>D29/D17</f>
        <v>0.48275354316215718</v>
      </c>
      <c r="Q29" s="3">
        <f>E29/E17</f>
        <v>0.44531381174653278</v>
      </c>
      <c r="R29" s="3">
        <f>F29/F17</f>
        <v>0.53341051935163741</v>
      </c>
      <c r="S29" s="3">
        <f>G29/G17</f>
        <v>0.60594656902630861</v>
      </c>
    </row>
    <row r="30" spans="2:19" ht="15" customHeight="1" x14ac:dyDescent="0.25">
      <c r="B30" s="4"/>
      <c r="C30" s="71"/>
      <c r="D30" s="71"/>
      <c r="E30" s="71"/>
      <c r="F30" s="71"/>
      <c r="G30" s="71"/>
      <c r="I30" s="1"/>
      <c r="J30" s="3"/>
      <c r="K30" s="3"/>
      <c r="L30" s="3"/>
      <c r="M30" s="3"/>
      <c r="O30" s="3"/>
      <c r="P30" s="3"/>
      <c r="Q30" s="3"/>
      <c r="R30" s="3"/>
      <c r="S30" s="3"/>
    </row>
    <row r="31" spans="2:19" ht="15" customHeight="1" thickBot="1" x14ac:dyDescent="0.3">
      <c r="B31" s="60" t="s">
        <v>43</v>
      </c>
      <c r="C31" s="73">
        <v>14797</v>
      </c>
      <c r="D31" s="73">
        <v>14051</v>
      </c>
      <c r="E31" s="73">
        <v>16518</v>
      </c>
      <c r="F31" s="73">
        <v>14105</v>
      </c>
      <c r="G31" s="73">
        <v>11623</v>
      </c>
      <c r="I31" s="54" t="s">
        <v>4</v>
      </c>
      <c r="J31" s="3">
        <f>(D31-C31)/C31</f>
        <v>-5.0415624788808545E-2</v>
      </c>
      <c r="K31" s="3">
        <f>(E31-D31)/D31</f>
        <v>0.17557469219272651</v>
      </c>
      <c r="L31" s="3">
        <f>(F31-E31)/E31</f>
        <v>-0.14608306090325704</v>
      </c>
      <c r="M31" s="3">
        <f>(G31-F31)/F31</f>
        <v>-0.17596596951435661</v>
      </c>
      <c r="O31" s="3">
        <f>C31/C17</f>
        <v>0.54318857604346393</v>
      </c>
      <c r="P31" s="3">
        <f>D31/D17</f>
        <v>0.51724645683784276</v>
      </c>
      <c r="Q31" s="3">
        <f>E31/E17</f>
        <v>0.55468618825346716</v>
      </c>
      <c r="R31" s="3">
        <f>F31/F17</f>
        <v>0.46658948064836253</v>
      </c>
      <c r="S31" s="3">
        <f>G31/G17</f>
        <v>0.39405343097369133</v>
      </c>
    </row>
    <row r="32" spans="2:19" ht="15" customHeight="1" x14ac:dyDescent="0.25">
      <c r="B32" s="4"/>
      <c r="C32" s="71"/>
      <c r="D32" s="71"/>
      <c r="E32" s="71"/>
      <c r="F32" s="71"/>
      <c r="G32" s="71"/>
      <c r="I32" s="1"/>
      <c r="J32" s="3"/>
      <c r="K32" s="3"/>
      <c r="L32" s="3"/>
      <c r="M32" s="3"/>
      <c r="O32" s="3"/>
      <c r="P32" s="3"/>
      <c r="Q32" s="3"/>
      <c r="R32" s="3"/>
      <c r="S32" s="3"/>
    </row>
    <row r="33" spans="2:19" ht="15" customHeight="1" thickBot="1" x14ac:dyDescent="0.3">
      <c r="B33" s="59" t="s">
        <v>44</v>
      </c>
      <c r="C33" s="72">
        <f>C29+C31</f>
        <v>27241</v>
      </c>
      <c r="D33" s="72">
        <f>D29+D31</f>
        <v>27165</v>
      </c>
      <c r="E33" s="72">
        <f>E29+E31</f>
        <v>29779</v>
      </c>
      <c r="F33" s="72">
        <f>F29+F31</f>
        <v>30230</v>
      </c>
      <c r="G33" s="72">
        <f>G29+G31</f>
        <v>29496</v>
      </c>
      <c r="I33" s="54" t="s">
        <v>4</v>
      </c>
      <c r="J33" s="3">
        <f>(D33-C33)/C33</f>
        <v>-2.7899122646011525E-3</v>
      </c>
      <c r="K33" s="3">
        <f>(E33-D33)/D33</f>
        <v>9.6226762378060007E-2</v>
      </c>
      <c r="L33" s="3">
        <f>(F33-E33)/E33</f>
        <v>1.5144900768998288E-2</v>
      </c>
      <c r="M33" s="3">
        <f>(G33-F33)/F33</f>
        <v>-2.4280516043665233E-2</v>
      </c>
      <c r="O33" s="3">
        <f>C33/C17</f>
        <v>1</v>
      </c>
      <c r="P33" s="3">
        <f>D33/D17</f>
        <v>1</v>
      </c>
      <c r="Q33" s="3">
        <f>E33/E17</f>
        <v>1</v>
      </c>
      <c r="R33" s="3">
        <f>F33/F17</f>
        <v>1</v>
      </c>
      <c r="S33" s="3">
        <f>G33/G17</f>
        <v>1</v>
      </c>
    </row>
    <row r="34" spans="2:19" ht="15.75" customHeight="1" x14ac:dyDescent="0.25">
      <c r="B34" s="4"/>
      <c r="C34" s="4"/>
      <c r="D34" s="4"/>
      <c r="E34" s="4"/>
      <c r="F34" s="4"/>
      <c r="G34" s="4"/>
    </row>
  </sheetData>
  <mergeCells count="8">
    <mergeCell ref="B1:B4"/>
    <mergeCell ref="I4:M4"/>
    <mergeCell ref="O4:S4"/>
    <mergeCell ref="I3:M3"/>
    <mergeCell ref="O3:S3"/>
    <mergeCell ref="C1:G2"/>
    <mergeCell ref="C3:G3"/>
    <mergeCell ref="C4:G4"/>
  </mergeCells>
  <conditionalFormatting sqref="I7:M33">
    <cfRule type="colorScale" priority="42">
      <colorScale>
        <cfvo type="min"/>
        <cfvo type="max"/>
        <color rgb="FFF8696B"/>
        <color rgb="FFFCFCFF"/>
      </colorScale>
    </cfRule>
  </conditionalFormatting>
  <conditionalFormatting sqref="J7:M7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8:M8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9:M9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1:M11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2:M12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3:M13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4:M14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5:M15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7:M17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9:M19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0:M20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1:M21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2:M22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4:M27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9:M29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1:M31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3:M33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7:S9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7:S33">
    <cfRule type="colorScale" priority="41">
      <colorScale>
        <cfvo type="min"/>
        <cfvo type="max"/>
        <color rgb="FFF8696B"/>
        <color rgb="FFFCFCFF"/>
      </colorScale>
    </cfRule>
  </conditionalFormatting>
  <conditionalFormatting sqref="O8:S8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9:S9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1:S11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2:S12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3:S13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4:S14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5:S15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7:S17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9:S19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0:S20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1:S21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2:S22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4:S24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5:S2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6:S2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7:S2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9:S2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1:S3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3:S3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E79"/>
  </sheetPr>
  <dimension ref="B1:S28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4" sqref="C4:G4"/>
    </sheetView>
  </sheetViews>
  <sheetFormatPr defaultColWidth="8.7109375" defaultRowHeight="15" x14ac:dyDescent="0.25"/>
  <cols>
    <col min="1" max="1" width="2.7109375" customWidth="1"/>
    <col min="2" max="2" width="54.28515625" customWidth="1"/>
    <col min="3" max="6" width="12.140625" bestFit="1" customWidth="1"/>
    <col min="7" max="7" width="13.42578125" bestFit="1" customWidth="1"/>
    <col min="8" max="8" width="3.42578125" customWidth="1"/>
    <col min="10" max="10" width="9.85546875" customWidth="1"/>
    <col min="14" max="14" width="3.140625" customWidth="1"/>
  </cols>
  <sheetData>
    <row r="1" spans="2:19" ht="22.5" customHeight="1" x14ac:dyDescent="0.25">
      <c r="B1" s="113"/>
      <c r="C1" s="109" t="s">
        <v>0</v>
      </c>
      <c r="D1" s="109"/>
      <c r="E1" s="109"/>
      <c r="F1" s="109"/>
      <c r="G1" s="109"/>
      <c r="I1" s="107"/>
      <c r="J1" s="107"/>
      <c r="K1" s="107"/>
      <c r="L1" s="107"/>
      <c r="M1" s="107"/>
      <c r="O1" s="107"/>
      <c r="P1" s="107"/>
      <c r="Q1" s="107"/>
      <c r="R1" s="107"/>
      <c r="S1" s="107"/>
    </row>
    <row r="2" spans="2:19" ht="15.75" customHeight="1" x14ac:dyDescent="0.25">
      <c r="B2" s="113"/>
      <c r="C2" s="109"/>
      <c r="D2" s="109"/>
      <c r="E2" s="109"/>
      <c r="F2" s="109"/>
      <c r="G2" s="109"/>
      <c r="I2" s="107"/>
      <c r="J2" s="107"/>
      <c r="K2" s="107"/>
      <c r="L2" s="107"/>
      <c r="M2" s="107"/>
      <c r="O2" s="107"/>
      <c r="P2" s="107"/>
      <c r="Q2" s="107"/>
      <c r="R2" s="107"/>
      <c r="S2" s="107"/>
    </row>
    <row r="3" spans="2:19" ht="21" customHeight="1" x14ac:dyDescent="0.25">
      <c r="B3" s="113"/>
      <c r="C3" s="110" t="s">
        <v>178</v>
      </c>
      <c r="D3" s="110"/>
      <c r="E3" s="110"/>
      <c r="F3" s="110"/>
      <c r="G3" s="110"/>
      <c r="I3" s="110" t="s">
        <v>1</v>
      </c>
      <c r="J3" s="110"/>
      <c r="K3" s="110"/>
      <c r="L3" s="110"/>
      <c r="M3" s="110"/>
      <c r="O3" s="110" t="s">
        <v>2</v>
      </c>
      <c r="P3" s="110"/>
      <c r="Q3" s="110"/>
      <c r="R3" s="110"/>
      <c r="S3" s="110"/>
    </row>
    <row r="4" spans="2:19" ht="15.75" customHeight="1" x14ac:dyDescent="0.25">
      <c r="B4" s="113"/>
      <c r="C4" s="111" t="s">
        <v>145</v>
      </c>
      <c r="D4" s="111"/>
      <c r="E4" s="111"/>
      <c r="F4" s="111"/>
      <c r="G4" s="111"/>
      <c r="I4" s="111" t="s">
        <v>146</v>
      </c>
      <c r="J4" s="111"/>
      <c r="K4" s="111"/>
      <c r="L4" s="111"/>
      <c r="M4" s="111"/>
      <c r="O4" s="111" t="s">
        <v>146</v>
      </c>
      <c r="P4" s="111"/>
      <c r="Q4" s="111"/>
      <c r="R4" s="111"/>
      <c r="S4" s="111"/>
    </row>
    <row r="5" spans="2:19" ht="15" customHeight="1" x14ac:dyDescent="0.25">
      <c r="B5" s="28" t="s">
        <v>64</v>
      </c>
      <c r="C5" s="29">
        <v>2021</v>
      </c>
      <c r="D5" s="29">
        <v>2022</v>
      </c>
      <c r="E5" s="29">
        <v>2023</v>
      </c>
      <c r="F5" s="28">
        <v>2024</v>
      </c>
      <c r="G5" s="29">
        <v>2025</v>
      </c>
      <c r="I5" s="52">
        <v>2021</v>
      </c>
      <c r="J5" s="52">
        <v>2022</v>
      </c>
      <c r="K5" s="52">
        <v>2023</v>
      </c>
      <c r="L5" s="52">
        <v>2024</v>
      </c>
      <c r="M5" s="52">
        <v>2025</v>
      </c>
      <c r="O5" s="29">
        <v>2021</v>
      </c>
      <c r="P5" s="29">
        <v>2022</v>
      </c>
      <c r="Q5" s="29">
        <v>2023</v>
      </c>
      <c r="R5" s="28">
        <v>2024</v>
      </c>
      <c r="S5" s="29">
        <v>2025</v>
      </c>
    </row>
    <row r="6" spans="2:19" ht="15" customHeight="1" x14ac:dyDescent="0.25">
      <c r="B6" s="20"/>
      <c r="C6" s="20"/>
      <c r="D6" s="20"/>
      <c r="E6" s="20"/>
      <c r="F6" s="20"/>
      <c r="G6" s="20"/>
    </row>
    <row r="7" spans="2:19" ht="15" customHeight="1" x14ac:dyDescent="0.25">
      <c r="B7" s="55" t="s">
        <v>45</v>
      </c>
      <c r="C7" s="20"/>
      <c r="D7" s="20"/>
      <c r="E7" s="20"/>
      <c r="F7" s="20"/>
      <c r="G7" s="20"/>
    </row>
    <row r="8" spans="2:19" ht="15" customHeight="1" x14ac:dyDescent="0.25">
      <c r="B8" s="21" t="s">
        <v>46</v>
      </c>
      <c r="C8" s="66">
        <f>INDEX('Income Statement'!C7:C25,MATCH("Net Income",'Income Statement'!$B$7:$B$25,0))</f>
        <v>4822</v>
      </c>
      <c r="D8" s="66">
        <f>INDEX('Income Statement'!D7:D25,MATCH("Net Income",'Income Statement'!$B$7:$B$25,0))</f>
        <v>4757</v>
      </c>
      <c r="E8" s="66">
        <f>INDEX('Income Statement'!E7:E25,MATCH("Net Income",'Income Statement'!$B$7:$B$25,0))</f>
        <v>5428</v>
      </c>
      <c r="F8" s="66">
        <f>INDEX('Income Statement'!F7:F25,MATCH("Net Income",'Income Statement'!$B$7:$B$25,0))</f>
        <v>5560</v>
      </c>
      <c r="G8" s="66">
        <f>INDEX('Income Statement'!G7:G25,MATCH("Net Income",'Income Statement'!$B$7:$B$25,0))</f>
        <v>7130</v>
      </c>
      <c r="I8" s="1" t="s">
        <v>4</v>
      </c>
      <c r="J8" s="14">
        <f t="shared" ref="J8:M12" si="0">(D8-C8)/D8</f>
        <v>-1.3664073996216103E-2</v>
      </c>
      <c r="K8" s="14">
        <f t="shared" si="0"/>
        <v>0.12361827560795874</v>
      </c>
      <c r="L8" s="14">
        <f t="shared" si="0"/>
        <v>2.3741007194244605E-2</v>
      </c>
      <c r="M8" s="14">
        <f t="shared" si="0"/>
        <v>0.22019635343618513</v>
      </c>
      <c r="N8" s="14"/>
      <c r="O8" s="14">
        <f>C8/'Income Statement'!C7</f>
        <v>0.30547988596769082</v>
      </c>
      <c r="P8" s="14">
        <f>D8/'Income Statement'!D7</f>
        <v>0.27019198000681588</v>
      </c>
      <c r="Q8" s="14">
        <f>E8/'Income Statement'!E7</f>
        <v>0.27966407336802512</v>
      </c>
      <c r="R8" s="14">
        <f>F8/'Income Statement'!F7</f>
        <v>0.25854452452917925</v>
      </c>
      <c r="S8" s="14">
        <f>G8/'Income Statement'!G7</f>
        <v>0.29997054987588878</v>
      </c>
    </row>
    <row r="9" spans="2:19" ht="15" customHeight="1" x14ac:dyDescent="0.25">
      <c r="B9" s="21" t="s">
        <v>47</v>
      </c>
      <c r="C9" s="66">
        <v>788</v>
      </c>
      <c r="D9" s="66">
        <v>856</v>
      </c>
      <c r="E9" s="74">
        <v>872</v>
      </c>
      <c r="F9" s="74">
        <v>857</v>
      </c>
      <c r="G9" s="74">
        <v>818</v>
      </c>
      <c r="I9" s="1" t="s">
        <v>4</v>
      </c>
      <c r="J9" s="14">
        <f t="shared" si="0"/>
        <v>7.9439252336448593E-2</v>
      </c>
      <c r="K9" s="14">
        <f t="shared" si="0"/>
        <v>1.834862385321101E-2</v>
      </c>
      <c r="L9" s="14">
        <f t="shared" si="0"/>
        <v>-1.7502917152858809E-2</v>
      </c>
      <c r="M9" s="14">
        <f t="shared" si="0"/>
        <v>-4.7677261613691929E-2</v>
      </c>
      <c r="N9" s="14"/>
      <c r="O9" s="14">
        <f>C9/'Income Statement'!C7</f>
        <v>4.9920810896420656E-2</v>
      </c>
      <c r="P9" s="14">
        <f>D9/'Income Statement'!D7</f>
        <v>4.8619788708394868E-2</v>
      </c>
      <c r="Q9" s="14">
        <f>E9/'Income Statement'!E7</f>
        <v>4.4927610902158792E-2</v>
      </c>
      <c r="R9" s="14">
        <f>F9/'Income Statement'!F7</f>
        <v>3.9851197395954427E-2</v>
      </c>
      <c r="S9" s="14">
        <f>G9/'Income Statement'!G7</f>
        <v>3.4414573604274475E-2</v>
      </c>
    </row>
    <row r="10" spans="2:19" ht="15" customHeight="1" x14ac:dyDescent="0.25">
      <c r="B10" s="21" t="s">
        <v>48</v>
      </c>
      <c r="C10" s="66">
        <v>1069</v>
      </c>
      <c r="D10" s="66">
        <v>1440</v>
      </c>
      <c r="E10" s="74">
        <v>1718</v>
      </c>
      <c r="F10" s="74">
        <v>1833</v>
      </c>
      <c r="G10" s="74">
        <v>1942</v>
      </c>
      <c r="I10" s="1" t="s">
        <v>4</v>
      </c>
      <c r="J10" s="14">
        <f t="shared" si="0"/>
        <v>0.25763888888888886</v>
      </c>
      <c r="K10" s="14">
        <f t="shared" si="0"/>
        <v>0.16181606519208383</v>
      </c>
      <c r="L10" s="14">
        <f t="shared" si="0"/>
        <v>6.2738679759956353E-2</v>
      </c>
      <c r="M10" s="14">
        <f t="shared" si="0"/>
        <v>5.6127703398558187E-2</v>
      </c>
      <c r="N10" s="14"/>
      <c r="O10" s="14">
        <f>C10/'Income Statement'!C7</f>
        <v>6.7722521381057971E-2</v>
      </c>
      <c r="P10" s="14">
        <f>D10/'Income Statement'!D7</f>
        <v>8.1790298761785757E-2</v>
      </c>
      <c r="Q10" s="14">
        <f>E10/'Income Statement'!E7</f>
        <v>8.8515637075583492E-2</v>
      </c>
      <c r="R10" s="14">
        <f>F10/'Income Statement'!F7</f>
        <v>8.5235991629853528E-2</v>
      </c>
      <c r="S10" s="14">
        <f>G10/'Income Statement'!G7</f>
        <v>8.1703058605746975E-2</v>
      </c>
    </row>
    <row r="11" spans="2:19" ht="15" customHeight="1" x14ac:dyDescent="0.25">
      <c r="B11" s="21" t="s">
        <v>49</v>
      </c>
      <c r="C11" s="66">
        <v>551</v>
      </c>
      <c r="D11" s="66">
        <v>786</v>
      </c>
      <c r="E11" s="74">
        <v>-716</v>
      </c>
      <c r="F11" s="74">
        <v>-194</v>
      </c>
      <c r="G11" s="74">
        <v>141</v>
      </c>
      <c r="I11" s="1" t="s">
        <v>4</v>
      </c>
      <c r="J11" s="14">
        <f t="shared" si="0"/>
        <v>0.29898218829516537</v>
      </c>
      <c r="K11" s="14">
        <f t="shared" si="0"/>
        <v>2.0977653631284916</v>
      </c>
      <c r="L11" s="14">
        <f t="shared" si="0"/>
        <v>-2.6907216494845363</v>
      </c>
      <c r="M11" s="14">
        <f t="shared" si="0"/>
        <v>2.375886524822695</v>
      </c>
      <c r="N11" s="14"/>
      <c r="O11" s="14">
        <f>C11/'Income Statement'!C7</f>
        <v>3.4906556857776369E-2</v>
      </c>
      <c r="P11" s="14">
        <f>D11/'Income Statement'!D7</f>
        <v>4.4643871407474722E-2</v>
      </c>
      <c r="Q11" s="14">
        <f>E11/'Income Statement'!E7</f>
        <v>-3.6890102529754235E-2</v>
      </c>
      <c r="R11" s="14">
        <f>F11/'Income Statement'!F7</f>
        <v>-9.0211578702627301E-3</v>
      </c>
      <c r="S11" s="14">
        <f>G11/'Income Statement'!G7</f>
        <v>5.9320964281206617E-3</v>
      </c>
    </row>
    <row r="12" spans="2:19" ht="15" customHeight="1" thickBot="1" x14ac:dyDescent="0.3">
      <c r="B12" s="57" t="s">
        <v>50</v>
      </c>
      <c r="C12" s="75">
        <f>SUM(C8:C11)</f>
        <v>7230</v>
      </c>
      <c r="D12" s="75">
        <f>SUM(D8:D11)</f>
        <v>7839</v>
      </c>
      <c r="E12" s="75">
        <f>SUM(E8:E11)</f>
        <v>7302</v>
      </c>
      <c r="F12" s="75">
        <f>SUM(F8:F11)</f>
        <v>8056</v>
      </c>
      <c r="G12" s="75">
        <f>SUM(G8:G11)</f>
        <v>10031</v>
      </c>
      <c r="I12" s="1" t="s">
        <v>4</v>
      </c>
      <c r="J12" s="14">
        <f t="shared" si="0"/>
        <v>7.7688480673555299E-2</v>
      </c>
      <c r="K12" s="14">
        <f t="shared" si="0"/>
        <v>-7.3541495480690222E-2</v>
      </c>
      <c r="L12" s="14">
        <f t="shared" si="0"/>
        <v>9.35948361469712E-2</v>
      </c>
      <c r="M12" s="14">
        <f t="shared" si="0"/>
        <v>0.19688964210946067</v>
      </c>
      <c r="N12" s="14"/>
      <c r="O12" s="14">
        <f>C12/'Income Statement'!C7</f>
        <v>0.45802977510294585</v>
      </c>
      <c r="P12" s="14">
        <f>D12/'Income Statement'!D7</f>
        <v>0.44524593888447123</v>
      </c>
      <c r="Q12" s="14">
        <f>E12/'Income Statement'!E7</f>
        <v>0.37621721881601317</v>
      </c>
      <c r="R12" s="14">
        <f>F12/'Income Statement'!F7</f>
        <v>0.37461055568472446</v>
      </c>
      <c r="S12" s="14">
        <f>G12/'Income Statement'!G7</f>
        <v>0.4220202785140309</v>
      </c>
    </row>
    <row r="13" spans="2:19" ht="15" customHeight="1" x14ac:dyDescent="0.25">
      <c r="B13" s="14"/>
      <c r="C13" s="76"/>
      <c r="D13" s="76"/>
      <c r="E13" s="76"/>
      <c r="F13" s="76"/>
      <c r="G13" s="76"/>
      <c r="I13" s="1"/>
      <c r="J13" s="14"/>
      <c r="K13" s="14"/>
      <c r="L13" s="14"/>
      <c r="M13" s="14"/>
      <c r="N13" s="14"/>
      <c r="O13" s="14"/>
      <c r="P13" s="14"/>
      <c r="Q13" s="14"/>
      <c r="R13" s="14"/>
      <c r="S13" s="14"/>
    </row>
    <row r="14" spans="2:19" ht="15" customHeight="1" x14ac:dyDescent="0.25">
      <c r="B14" s="55" t="s">
        <v>51</v>
      </c>
      <c r="C14" s="66"/>
      <c r="D14" s="66"/>
      <c r="E14" s="66"/>
      <c r="F14" s="66"/>
      <c r="G14" s="66"/>
      <c r="I14" s="1"/>
      <c r="J14" s="14"/>
      <c r="K14" s="14"/>
      <c r="L14" s="14"/>
      <c r="M14" s="14"/>
      <c r="N14" s="14"/>
      <c r="O14" s="14"/>
      <c r="P14" s="14"/>
      <c r="Q14" s="14"/>
      <c r="R14" s="14"/>
      <c r="S14" s="14"/>
    </row>
    <row r="15" spans="2:19" ht="15" customHeight="1" x14ac:dyDescent="0.25">
      <c r="B15" s="21" t="s">
        <v>52</v>
      </c>
      <c r="C15" s="66">
        <v>-348</v>
      </c>
      <c r="D15" s="66">
        <v>-442</v>
      </c>
      <c r="E15" s="74">
        <v>-360</v>
      </c>
      <c r="F15" s="74">
        <v>-183</v>
      </c>
      <c r="G15" s="74">
        <v>-179</v>
      </c>
      <c r="I15" s="1" t="s">
        <v>4</v>
      </c>
      <c r="J15" s="14">
        <f t="shared" ref="J15:M17" si="1">(D15-C15)/D15</f>
        <v>0.21266968325791855</v>
      </c>
      <c r="K15" s="14">
        <f t="shared" si="1"/>
        <v>-0.22777777777777777</v>
      </c>
      <c r="L15" s="14">
        <f t="shared" si="1"/>
        <v>-0.96721311475409832</v>
      </c>
      <c r="M15" s="14">
        <f t="shared" si="1"/>
        <v>-2.23463687150838E-2</v>
      </c>
      <c r="N15" s="14"/>
      <c r="O15" s="14">
        <f>C15/'Income Statement'!C7</f>
        <v>-2.2046246436490339E-2</v>
      </c>
      <c r="P15" s="14">
        <f>D15/'Income Statement'!D7</f>
        <v>-2.5105077814381462E-2</v>
      </c>
      <c r="Q15" s="14">
        <f>E15/'Income Statement'!E7</f>
        <v>-1.854809624401051E-2</v>
      </c>
      <c r="R15" s="14">
        <f>F15/'Income Statement'!F7</f>
        <v>-8.5096489188560796E-3</v>
      </c>
      <c r="S15" s="14">
        <f>G15/'Income Statement'!G7</f>
        <v>-7.5308174513021159E-3</v>
      </c>
    </row>
    <row r="16" spans="2:19" ht="15" customHeight="1" x14ac:dyDescent="0.25">
      <c r="B16" s="21" t="s">
        <v>53</v>
      </c>
      <c r="C16" s="66">
        <v>-3189</v>
      </c>
      <c r="D16" s="66">
        <v>-128</v>
      </c>
      <c r="E16" s="74">
        <v>1136</v>
      </c>
      <c r="F16" s="74">
        <v>332</v>
      </c>
      <c r="G16" s="74">
        <v>-1008</v>
      </c>
      <c r="I16" s="1" t="s">
        <v>4</v>
      </c>
      <c r="J16" s="14">
        <f t="shared" si="1"/>
        <v>-23.9140625</v>
      </c>
      <c r="K16" s="14">
        <f t="shared" si="1"/>
        <v>1.1126760563380282</v>
      </c>
      <c r="L16" s="14">
        <f t="shared" si="1"/>
        <v>-2.4216867469879517</v>
      </c>
      <c r="M16" s="14">
        <f t="shared" si="1"/>
        <v>1.3293650793650793</v>
      </c>
      <c r="N16" s="14"/>
      <c r="O16" s="14">
        <f>C16/'Income Statement'!C7</f>
        <v>-0.20202724105163131</v>
      </c>
      <c r="P16" s="14">
        <f>D16/'Income Statement'!D7</f>
        <v>-7.2702487788254009E-3</v>
      </c>
      <c r="Q16" s="14">
        <f>E16/'Income Statement'!E7</f>
        <v>5.8529548147766501E-2</v>
      </c>
      <c r="R16" s="14">
        <f>F16/'Income Statement'!F7</f>
        <v>1.543827016972797E-2</v>
      </c>
      <c r="S16" s="14">
        <f>G16/'Income Statement'!G7</f>
        <v>-4.2408178720181752E-2</v>
      </c>
    </row>
    <row r="17" spans="2:19" ht="15" customHeight="1" thickBot="1" x14ac:dyDescent="0.3">
      <c r="B17" s="57" t="s">
        <v>54</v>
      </c>
      <c r="C17" s="67">
        <f>SUM(C15:C16)</f>
        <v>-3537</v>
      </c>
      <c r="D17" s="67">
        <f>SUM(D15:D16)</f>
        <v>-570</v>
      </c>
      <c r="E17" s="67">
        <f>SUM(E15:E16)</f>
        <v>776</v>
      </c>
      <c r="F17" s="67">
        <f>SUM(F15:F16)</f>
        <v>149</v>
      </c>
      <c r="G17" s="67">
        <f>SUM(G15:G16)</f>
        <v>-1187</v>
      </c>
      <c r="I17" s="1" t="s">
        <v>4</v>
      </c>
      <c r="J17" s="14">
        <f t="shared" si="1"/>
        <v>-5.2052631578947368</v>
      </c>
      <c r="K17" s="14">
        <f t="shared" si="1"/>
        <v>1.7345360824742269</v>
      </c>
      <c r="L17" s="14">
        <f t="shared" si="1"/>
        <v>-4.2080536912751674</v>
      </c>
      <c r="M17" s="14">
        <f t="shared" si="1"/>
        <v>1.1255265374894692</v>
      </c>
      <c r="N17" s="14"/>
      <c r="O17" s="14">
        <f>C17/'Income Statement'!C7</f>
        <v>-0.22407348748812164</v>
      </c>
      <c r="P17" s="14">
        <f>D17/'Income Statement'!D7</f>
        <v>-3.2375326593206862E-2</v>
      </c>
      <c r="Q17" s="14">
        <f>E17/'Income Statement'!E7</f>
        <v>3.9981451903755988E-2</v>
      </c>
      <c r="R17" s="14">
        <f>F17/'Income Statement'!F7</f>
        <v>6.9286212508718904E-3</v>
      </c>
      <c r="S17" s="14">
        <f>G17/'Income Statement'!G7</f>
        <v>-4.9938996171483868E-2</v>
      </c>
    </row>
    <row r="18" spans="2:19" ht="15" customHeight="1" x14ac:dyDescent="0.25">
      <c r="B18" s="14"/>
      <c r="C18" s="76"/>
      <c r="D18" s="76"/>
      <c r="E18" s="76"/>
      <c r="F18" s="76"/>
      <c r="G18" s="76"/>
      <c r="I18" s="1"/>
      <c r="J18" s="14"/>
      <c r="K18" s="14"/>
      <c r="L18" s="14"/>
      <c r="M18" s="14"/>
      <c r="N18" s="14"/>
      <c r="O18" s="14"/>
      <c r="P18" s="14"/>
      <c r="Q18" s="14"/>
      <c r="R18" s="14"/>
      <c r="S18" s="14"/>
    </row>
    <row r="19" spans="2:19" ht="15" customHeight="1" x14ac:dyDescent="0.25">
      <c r="B19" s="50" t="s">
        <v>55</v>
      </c>
      <c r="C19" s="66"/>
      <c r="D19" s="66"/>
      <c r="E19" s="66"/>
      <c r="F19" s="66"/>
      <c r="G19" s="66"/>
      <c r="I19" s="1"/>
      <c r="J19" s="14"/>
      <c r="K19" s="14"/>
      <c r="L19" s="14"/>
      <c r="M19" s="14"/>
      <c r="N19" s="14"/>
      <c r="O19" s="14"/>
      <c r="P19" s="14"/>
      <c r="Q19" s="14"/>
      <c r="R19" s="14"/>
      <c r="S19" s="14"/>
    </row>
    <row r="20" spans="2:19" ht="15" customHeight="1" x14ac:dyDescent="0.25">
      <c r="B20" s="21" t="s">
        <v>56</v>
      </c>
      <c r="C20" s="66">
        <v>-3950</v>
      </c>
      <c r="D20" s="66">
        <v>-6550</v>
      </c>
      <c r="E20" s="74">
        <v>-4400</v>
      </c>
      <c r="F20" s="74">
        <v>-9500</v>
      </c>
      <c r="G20" s="74">
        <v>-11281</v>
      </c>
      <c r="I20" s="1" t="s">
        <v>4</v>
      </c>
      <c r="J20" s="14">
        <f t="shared" ref="J20:M22" si="2">(D20-C20)/D20</f>
        <v>0.39694656488549618</v>
      </c>
      <c r="K20" s="14">
        <f t="shared" si="2"/>
        <v>-0.48863636363636365</v>
      </c>
      <c r="L20" s="14">
        <f t="shared" si="2"/>
        <v>0.5368421052631579</v>
      </c>
      <c r="M20" s="14">
        <f t="shared" si="2"/>
        <v>0.15787607481606242</v>
      </c>
      <c r="N20" s="14"/>
      <c r="O20" s="14">
        <f>C20/'Income Statement'!C7</f>
        <v>-0.25023756731073804</v>
      </c>
      <c r="P20" s="14">
        <f>D20/'Income Statement'!D7</f>
        <v>-0.37203226172895604</v>
      </c>
      <c r="Q20" s="14">
        <f>E20/'Income Statement'!E7</f>
        <v>-0.2266989540934618</v>
      </c>
      <c r="R20" s="14">
        <f>F20/'Income Statement'!F7</f>
        <v>-0.44175773076028829</v>
      </c>
      <c r="S20" s="14">
        <f>G20/'Income Statement'!G7</f>
        <v>-0.4746097858555261</v>
      </c>
    </row>
    <row r="21" spans="2:19" ht="15" customHeight="1" x14ac:dyDescent="0.25">
      <c r="B21" s="21" t="s">
        <v>57</v>
      </c>
      <c r="C21" s="66">
        <v>-351</v>
      </c>
      <c r="D21" s="66">
        <v>-275</v>
      </c>
      <c r="E21" s="74">
        <v>-782</v>
      </c>
      <c r="F21" s="74">
        <v>1776</v>
      </c>
      <c r="G21" s="74">
        <v>221</v>
      </c>
      <c r="I21" s="1" t="s">
        <v>4</v>
      </c>
      <c r="J21" s="14">
        <f t="shared" si="2"/>
        <v>-0.27636363636363637</v>
      </c>
      <c r="K21" s="14">
        <f t="shared" si="2"/>
        <v>0.64833759590792839</v>
      </c>
      <c r="L21" s="14">
        <f t="shared" si="2"/>
        <v>1.4403153153153154</v>
      </c>
      <c r="M21" s="14">
        <f t="shared" si="2"/>
        <v>-7.0361990950226243</v>
      </c>
      <c r="N21" s="14"/>
      <c r="O21" s="14">
        <f>C21/'Income Statement'!C7</f>
        <v>-2.2236300285080772E-2</v>
      </c>
      <c r="P21" s="14">
        <f>D21/'Income Statement'!D7</f>
        <v>-1.5619675110757696E-2</v>
      </c>
      <c r="Q21" s="14">
        <f>E21/'Income Statement'!E7</f>
        <v>-4.0290586841156162E-2</v>
      </c>
      <c r="R21" s="14">
        <f>F21/'Income Statement'!F7</f>
        <v>8.2585445245291794E-2</v>
      </c>
      <c r="S21" s="14">
        <f>G21/'Income Statement'!G7</f>
        <v>9.2978248979763561E-3</v>
      </c>
    </row>
    <row r="22" spans="2:19" ht="15" customHeight="1" thickBot="1" x14ac:dyDescent="0.3">
      <c r="B22" s="57" t="s">
        <v>58</v>
      </c>
      <c r="C22" s="67">
        <f>SUM(C20:C21)</f>
        <v>-4301</v>
      </c>
      <c r="D22" s="67">
        <f>SUM(D20:D21)</f>
        <v>-6825</v>
      </c>
      <c r="E22" s="67">
        <f>SUM(E20:E21)</f>
        <v>-5182</v>
      </c>
      <c r="F22" s="67">
        <f>SUM(F20:F21)</f>
        <v>-7724</v>
      </c>
      <c r="G22" s="67">
        <f>SUM(G20:G21)</f>
        <v>-11060</v>
      </c>
      <c r="I22" s="1" t="s">
        <v>4</v>
      </c>
      <c r="J22" s="14">
        <f t="shared" si="2"/>
        <v>0.36981684981684981</v>
      </c>
      <c r="K22" s="14">
        <f t="shared" si="2"/>
        <v>-0.31705905055962946</v>
      </c>
      <c r="L22" s="14">
        <f t="shared" si="2"/>
        <v>0.32910409114448474</v>
      </c>
      <c r="M22" s="14">
        <f t="shared" si="2"/>
        <v>0.301627486437613</v>
      </c>
      <c r="N22" s="14"/>
      <c r="O22" s="14">
        <f>C22/'Income Statement'!C7</f>
        <v>-0.27247386759581882</v>
      </c>
      <c r="P22" s="14">
        <f>D22/'Income Statement'!D7</f>
        <v>-0.38765193683971372</v>
      </c>
      <c r="Q22" s="14">
        <f>E22/'Income Statement'!E7</f>
        <v>-0.26698954093461796</v>
      </c>
      <c r="R22" s="14">
        <f>F22/'Income Statement'!F7</f>
        <v>-0.35917228551499653</v>
      </c>
      <c r="S22" s="14">
        <f>G22/'Income Statement'!G7</f>
        <v>-0.46531196095754973</v>
      </c>
    </row>
    <row r="23" spans="2:19" ht="15" customHeight="1" x14ac:dyDescent="0.25">
      <c r="B23" s="14"/>
      <c r="C23" s="76"/>
      <c r="D23" s="76"/>
      <c r="E23" s="76"/>
      <c r="F23" s="76"/>
      <c r="G23" s="76"/>
      <c r="I23" s="1"/>
      <c r="J23" s="14"/>
      <c r="K23" s="14"/>
      <c r="L23" s="14"/>
      <c r="M23" s="14"/>
      <c r="N23" s="14"/>
      <c r="O23" s="14"/>
      <c r="P23" s="14"/>
      <c r="Q23" s="14"/>
      <c r="R23" s="14"/>
      <c r="S23" s="14"/>
    </row>
    <row r="24" spans="2:19" ht="15" customHeight="1" x14ac:dyDescent="0.25">
      <c r="B24" s="55" t="s">
        <v>59</v>
      </c>
      <c r="C24" s="66"/>
      <c r="D24" s="66"/>
      <c r="E24" s="66"/>
      <c r="F24" s="66"/>
      <c r="G24" s="66"/>
      <c r="I24" s="1"/>
      <c r="J24" s="14"/>
      <c r="K24" s="14"/>
      <c r="L24" s="14"/>
      <c r="M24" s="14"/>
      <c r="N24" s="14"/>
      <c r="O24" s="14"/>
      <c r="P24" s="14"/>
      <c r="Q24" s="14"/>
      <c r="R24" s="14"/>
      <c r="S24" s="14"/>
    </row>
    <row r="25" spans="2:19" ht="15" customHeight="1" x14ac:dyDescent="0.25">
      <c r="B25" s="20" t="s">
        <v>60</v>
      </c>
      <c r="C25" s="66">
        <v>-26</v>
      </c>
      <c r="D25" s="66">
        <v>-52</v>
      </c>
      <c r="E25" s="66">
        <v>9</v>
      </c>
      <c r="F25" s="66">
        <v>-9</v>
      </c>
      <c r="G25" s="66">
        <v>34</v>
      </c>
      <c r="I25" s="1" t="s">
        <v>4</v>
      </c>
      <c r="J25" s="14">
        <f t="shared" ref="J25:M28" si="3">(D25-C25)/D25</f>
        <v>0.5</v>
      </c>
      <c r="K25" s="14">
        <f t="shared" si="3"/>
        <v>6.7777777777777777</v>
      </c>
      <c r="L25" s="14">
        <f t="shared" si="3"/>
        <v>2</v>
      </c>
      <c r="M25" s="14">
        <f t="shared" si="3"/>
        <v>1.2647058823529411</v>
      </c>
      <c r="N25" s="14"/>
      <c r="O25" s="14">
        <f>C25/'Income Statement'!C7</f>
        <v>-1.6471333544504276E-3</v>
      </c>
      <c r="P25" s="14">
        <f>D25/'Income Statement'!D7</f>
        <v>-2.9535385663978187E-3</v>
      </c>
      <c r="Q25" s="14">
        <f>E25/'Income Statement'!E7</f>
        <v>4.6370240610026277E-4</v>
      </c>
      <c r="R25" s="14">
        <f>F25/'Income Statement'!F7</f>
        <v>-4.1850732387816787E-4</v>
      </c>
      <c r="S25" s="14">
        <f>G25/'Income Statement'!G7</f>
        <v>1.4304345996886702E-3</v>
      </c>
    </row>
    <row r="26" spans="2:19" ht="15" customHeight="1" thickBot="1" x14ac:dyDescent="0.3">
      <c r="B26" s="58" t="s">
        <v>61</v>
      </c>
      <c r="C26" s="67">
        <f>SUM(C12+C17+C22+C25)</f>
        <v>-634</v>
      </c>
      <c r="D26" s="67">
        <f>SUM(D12+D17+D22+D25)</f>
        <v>392</v>
      </c>
      <c r="E26" s="67">
        <f>SUM(E12+E17+E22+E25)</f>
        <v>2905</v>
      </c>
      <c r="F26" s="67">
        <f>SUM(F12+F17+F22+F25)</f>
        <v>472</v>
      </c>
      <c r="G26" s="67">
        <f>SUM(G12+G17+G22+G25)</f>
        <v>-2182</v>
      </c>
      <c r="I26" s="1" t="s">
        <v>4</v>
      </c>
      <c r="J26" s="14">
        <f t="shared" si="3"/>
        <v>2.6173469387755102</v>
      </c>
      <c r="K26" s="14">
        <f t="shared" si="3"/>
        <v>0.86506024096385548</v>
      </c>
      <c r="L26" s="14">
        <f t="shared" si="3"/>
        <v>-5.1546610169491522</v>
      </c>
      <c r="M26" s="14">
        <f t="shared" si="3"/>
        <v>1.2163153070577453</v>
      </c>
      <c r="N26" s="14"/>
      <c r="O26" s="14">
        <f>C26/'Income Statement'!C7</f>
        <v>-4.0164713335445044E-2</v>
      </c>
      <c r="P26" s="14">
        <f>D26/'Income Statement'!D7</f>
        <v>2.2265136885152789E-2</v>
      </c>
      <c r="Q26" s="14">
        <f>E26/'Income Statement'!E7</f>
        <v>0.14967283219125149</v>
      </c>
      <c r="R26" s="14">
        <f>F26/'Income Statement'!F7</f>
        <v>2.1948384096721691E-2</v>
      </c>
      <c r="S26" s="14">
        <f>G26/'Income Statement'!G7</f>
        <v>-9.1800244015314059E-2</v>
      </c>
    </row>
    <row r="27" spans="2:19" ht="15" customHeight="1" x14ac:dyDescent="0.25">
      <c r="B27" s="20" t="s">
        <v>62</v>
      </c>
      <c r="C27" s="66">
        <v>4478</v>
      </c>
      <c r="D27" s="66">
        <v>3844</v>
      </c>
      <c r="E27" s="66">
        <v>4236</v>
      </c>
      <c r="F27" s="66">
        <v>7141</v>
      </c>
      <c r="G27" s="66">
        <v>7613</v>
      </c>
      <c r="I27" s="1" t="s">
        <v>4</v>
      </c>
      <c r="J27" s="14">
        <f t="shared" si="3"/>
        <v>-0.16493236212278875</v>
      </c>
      <c r="K27" s="14">
        <f t="shared" si="3"/>
        <v>9.2540132200188863E-2</v>
      </c>
      <c r="L27" s="14">
        <f t="shared" si="3"/>
        <v>0.40680576950007002</v>
      </c>
      <c r="M27" s="14">
        <f t="shared" si="3"/>
        <v>6.1999211874425322E-2</v>
      </c>
      <c r="N27" s="14"/>
      <c r="O27" s="14">
        <f>C27/'Income Statement'!C7</f>
        <v>0.28368704466265443</v>
      </c>
      <c r="P27" s="14">
        <f>D27/'Income Statement'!D7</f>
        <v>0.21833465863910032</v>
      </c>
      <c r="Q27" s="14">
        <f>E27/'Income Statement'!E7</f>
        <v>0.21824926580452367</v>
      </c>
      <c r="R27" s="14">
        <f>F27/'Income Statement'!F7</f>
        <v>0.3320623110904441</v>
      </c>
      <c r="S27" s="14">
        <f>G27/'Income Statement'!G7</f>
        <v>0.32029113551264254</v>
      </c>
    </row>
    <row r="28" spans="2:19" ht="15" customHeight="1" thickBot="1" x14ac:dyDescent="0.3">
      <c r="B28" s="56" t="s">
        <v>63</v>
      </c>
      <c r="C28" s="77">
        <f>SUM(C26+C27)</f>
        <v>3844</v>
      </c>
      <c r="D28" s="77">
        <f>SUM(D26+D27)</f>
        <v>4236</v>
      </c>
      <c r="E28" s="77">
        <f>SUM(E26+E27)</f>
        <v>7141</v>
      </c>
      <c r="F28" s="77">
        <f>SUM(F26+F27)</f>
        <v>7613</v>
      </c>
      <c r="G28" s="77">
        <f>SUM(G26+G27)</f>
        <v>5431</v>
      </c>
      <c r="I28" s="1" t="s">
        <v>4</v>
      </c>
      <c r="J28" s="14">
        <f t="shared" si="3"/>
        <v>9.2540132200188863E-2</v>
      </c>
      <c r="K28" s="14">
        <f t="shared" si="3"/>
        <v>0.40680576950007002</v>
      </c>
      <c r="L28" s="14">
        <f t="shared" si="3"/>
        <v>6.1999211874425322E-2</v>
      </c>
      <c r="M28" s="14">
        <f t="shared" si="3"/>
        <v>-0.40176763027066836</v>
      </c>
      <c r="N28" s="14"/>
      <c r="O28" s="14">
        <f>C28/'Income Statement'!C7</f>
        <v>0.24352233132720938</v>
      </c>
      <c r="P28" s="14">
        <f>D28/'Income Statement'!D7</f>
        <v>0.24059979552425309</v>
      </c>
      <c r="Q28" s="14">
        <f>E28/'Income Statement'!E7</f>
        <v>0.36792209799577513</v>
      </c>
      <c r="R28" s="14">
        <f>F28/'Income Statement'!F7</f>
        <v>0.35401069518716577</v>
      </c>
      <c r="S28" s="14">
        <f>G28/'Income Statement'!G7</f>
        <v>0.22849089149732846</v>
      </c>
    </row>
  </sheetData>
  <mergeCells count="10">
    <mergeCell ref="I3:M3"/>
    <mergeCell ref="O3:S3"/>
    <mergeCell ref="I4:M4"/>
    <mergeCell ref="O4:S4"/>
    <mergeCell ref="B1:B4"/>
    <mergeCell ref="C1:G2"/>
    <mergeCell ref="C3:G3"/>
    <mergeCell ref="C4:G4"/>
    <mergeCell ref="I1:M2"/>
    <mergeCell ref="O1:S2"/>
  </mergeCells>
  <conditionalFormatting sqref="B13:G13">
    <cfRule type="colorScale" priority="33">
      <colorScale>
        <cfvo type="min"/>
        <cfvo type="max"/>
        <color rgb="FFF8696B"/>
        <color rgb="FFFCFCFF"/>
      </colorScale>
    </cfRule>
  </conditionalFormatting>
  <conditionalFormatting sqref="B18:G18">
    <cfRule type="colorScale" priority="34">
      <colorScale>
        <cfvo type="min"/>
        <cfvo type="max"/>
        <color rgb="FFF8696B"/>
        <color rgb="FFFCFCFF"/>
      </colorScale>
    </cfRule>
  </conditionalFormatting>
  <conditionalFormatting sqref="B23:G23">
    <cfRule type="colorScale" priority="32">
      <colorScale>
        <cfvo type="min"/>
        <cfvo type="max"/>
        <color rgb="FFF8696B"/>
        <color rgb="FFFCFCFF"/>
      </colorScale>
    </cfRule>
  </conditionalFormatting>
  <conditionalFormatting sqref="I8:M28">
    <cfRule type="colorScale" priority="39">
      <colorScale>
        <cfvo type="min"/>
        <cfvo type="max"/>
        <color rgb="FFF8696B"/>
        <color rgb="FFFCFCFF"/>
      </colorScale>
    </cfRule>
  </conditionalFormatting>
  <conditionalFormatting sqref="J8:M8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9:M9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0:M10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1:M11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2:M12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5:M15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6:M16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7:M17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0:M20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1:M21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2:M22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5:M25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6:M26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7:M27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8:M28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8:S8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8:S28">
    <cfRule type="colorScale" priority="36">
      <colorScale>
        <cfvo type="min"/>
        <cfvo type="max"/>
        <color rgb="FFF8696B"/>
        <color rgb="FFFCFCFF"/>
      </colorScale>
    </cfRule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0" priority="38" operator="greaterThan">
      <formula>30</formula>
    </cfRule>
  </conditionalFormatting>
  <conditionalFormatting sqref="O9:S9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0:S10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1:S11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2:S12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5:S15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6:S16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7:S17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0:S20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1:S21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2:S2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5:S2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6:S2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7:S2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8:S2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75B6"/>
  </sheetPr>
  <dimension ref="B1:I53"/>
  <sheetViews>
    <sheetView zoomScaleNormal="100" workbookViewId="0">
      <selection activeCell="I22" sqref="I22"/>
    </sheetView>
  </sheetViews>
  <sheetFormatPr defaultColWidth="8.7109375" defaultRowHeight="15" x14ac:dyDescent="0.25"/>
  <cols>
    <col min="1" max="1" width="4.28515625" customWidth="1"/>
    <col min="2" max="2" width="20.140625" customWidth="1"/>
    <col min="3" max="3" width="27.85546875" customWidth="1"/>
    <col min="4" max="8" width="11" customWidth="1"/>
    <col min="9" max="9" width="84.85546875" bestFit="1" customWidth="1"/>
  </cols>
  <sheetData>
    <row r="1" spans="2:9" ht="15.75" customHeight="1" x14ac:dyDescent="0.25"/>
    <row r="2" spans="2:9" ht="23.25" customHeight="1" x14ac:dyDescent="0.25">
      <c r="C2" s="109" t="s">
        <v>0</v>
      </c>
      <c r="D2" s="109"/>
      <c r="E2" s="109"/>
      <c r="F2" s="109"/>
      <c r="G2" s="109"/>
      <c r="H2" s="109"/>
    </row>
    <row r="3" spans="2:9" ht="15" customHeight="1" x14ac:dyDescent="0.25">
      <c r="C3" s="109"/>
      <c r="D3" s="109"/>
      <c r="E3" s="109"/>
      <c r="F3" s="109"/>
      <c r="G3" s="109"/>
      <c r="H3" s="109"/>
    </row>
    <row r="4" spans="2:9" ht="15" customHeight="1" x14ac:dyDescent="0.25">
      <c r="C4" s="110" t="s">
        <v>148</v>
      </c>
      <c r="D4" s="110"/>
      <c r="E4" s="110"/>
      <c r="F4" s="110"/>
      <c r="G4" s="110"/>
      <c r="H4" s="110"/>
    </row>
    <row r="5" spans="2:9" ht="15" customHeight="1" x14ac:dyDescent="0.25">
      <c r="C5" s="111" t="s">
        <v>152</v>
      </c>
      <c r="D5" s="111"/>
      <c r="E5" s="111"/>
      <c r="F5" s="111"/>
      <c r="G5" s="111"/>
      <c r="H5" s="111"/>
    </row>
    <row r="6" spans="2:9" ht="15" customHeight="1" x14ac:dyDescent="0.25">
      <c r="B6" s="28" t="s">
        <v>137</v>
      </c>
      <c r="C6" s="28" t="s">
        <v>137</v>
      </c>
      <c r="D6" s="29">
        <v>2021</v>
      </c>
      <c r="E6" s="29">
        <v>2022</v>
      </c>
      <c r="F6" s="29">
        <v>2023</v>
      </c>
      <c r="G6" s="29">
        <v>2024</v>
      </c>
      <c r="H6" s="29">
        <v>2025</v>
      </c>
      <c r="I6" s="29" t="s">
        <v>154</v>
      </c>
    </row>
    <row r="7" spans="2:9" ht="15" customHeight="1" x14ac:dyDescent="0.25">
      <c r="B7" s="102" t="s">
        <v>147</v>
      </c>
      <c r="C7" s="95" t="s">
        <v>65</v>
      </c>
      <c r="D7" s="80" t="s">
        <v>4</v>
      </c>
      <c r="E7" s="96">
        <f>('Income Statement'!D7-'Income Statement'!C7)/'Income Statement'!C7</f>
        <v>0.11536268609439342</v>
      </c>
      <c r="F7" s="96">
        <f>('Income Statement'!E7-'Income Statement'!D7)/'Income Statement'!D7</f>
        <v>0.10240826990798592</v>
      </c>
      <c r="G7" s="96">
        <f>('Income Statement'!F7-'Income Statement'!E7)/'Income Statement'!E7</f>
        <v>0.10799113813179453</v>
      </c>
      <c r="H7" s="96">
        <f>('Income Statement'!G7-'Income Statement'!F7)/'Income Statement'!F7</f>
        <v>0.10527784236224134</v>
      </c>
      <c r="I7" s="6" t="s">
        <v>155</v>
      </c>
    </row>
    <row r="8" spans="2:9" ht="15" customHeight="1" x14ac:dyDescent="0.25">
      <c r="B8" s="102" t="s">
        <v>147</v>
      </c>
      <c r="C8" s="95" t="s">
        <v>66</v>
      </c>
      <c r="D8" s="96">
        <f>'Income Statement'!C9/'Income Statement'!C7</f>
        <v>0.88184985745961353</v>
      </c>
      <c r="E8" s="96">
        <f>'Income Statement'!D9/'Income Statement'!D7</f>
        <v>0.87703055776439853</v>
      </c>
      <c r="F8" s="96">
        <f>'Income Statement'!E9/'Income Statement'!E7</f>
        <v>0.87871605955999799</v>
      </c>
      <c r="G8" s="96">
        <f>'Income Statement'!F9/'Income Statement'!F7</f>
        <v>0.89035108114392003</v>
      </c>
      <c r="H8" s="96">
        <f>'Income Statement'!G9/'Income Statement'!G7</f>
        <v>0.89267533341747651</v>
      </c>
      <c r="I8" s="6" t="s">
        <v>156</v>
      </c>
    </row>
    <row r="9" spans="2:9" ht="15" customHeight="1" x14ac:dyDescent="0.25">
      <c r="B9" s="102" t="s">
        <v>147</v>
      </c>
      <c r="C9" s="95" t="s">
        <v>67</v>
      </c>
      <c r="D9" s="96">
        <f>'Income Statement'!C34/'Income Statement'!C7</f>
        <v>0.41748495407031994</v>
      </c>
      <c r="E9" s="96">
        <f>'Income Statement'!D34/'Income Statement'!D7</f>
        <v>0.39503578325570826</v>
      </c>
      <c r="F9" s="96">
        <f>'Income Statement'!E34/'Income Statement'!E7</f>
        <v>0.3875521665206863</v>
      </c>
      <c r="G9" s="96">
        <f>'Income Statement'!F34/'Income Statement'!F7</f>
        <v>0.35331318298070219</v>
      </c>
      <c r="H9" s="96">
        <f>'Income Statement'!G34/'Income Statement'!G7</f>
        <v>0.40068997433632042</v>
      </c>
      <c r="I9" s="6" t="s">
        <v>157</v>
      </c>
    </row>
    <row r="10" spans="2:9" ht="15" customHeight="1" x14ac:dyDescent="0.25">
      <c r="B10" s="102" t="s">
        <v>147</v>
      </c>
      <c r="C10" s="95" t="s">
        <v>68</v>
      </c>
      <c r="D10" s="96">
        <f>'Income Statement'!C33/'Income Statement'!C7</f>
        <v>0.36756414317389929</v>
      </c>
      <c r="E10" s="96">
        <f>'Income Statement'!D33/'Income Statement'!D7</f>
        <v>0.34641599454731342</v>
      </c>
      <c r="F10" s="96">
        <f>'Income Statement'!E33/'Income Statement'!E7</f>
        <v>0.3426245556185275</v>
      </c>
      <c r="G10" s="96">
        <f>'Income Statement'!F33/'Income Statement'!F7</f>
        <v>0.31346198558474775</v>
      </c>
      <c r="H10" s="96">
        <f>'Income Statement'!G33/'Income Statement'!G7</f>
        <v>0.36627540073204595</v>
      </c>
      <c r="I10" s="6" t="s">
        <v>158</v>
      </c>
    </row>
    <row r="11" spans="2:9" ht="15" customHeight="1" x14ac:dyDescent="0.25">
      <c r="B11" s="102" t="s">
        <v>147</v>
      </c>
      <c r="C11" s="95" t="s">
        <v>69</v>
      </c>
      <c r="D11" s="96">
        <f>'Income Statement'!C25/'Income Statement'!C7</f>
        <v>0.30547988596769082</v>
      </c>
      <c r="E11" s="96">
        <f>'Income Statement'!D25/'Income Statement'!D7</f>
        <v>0.27019198000681588</v>
      </c>
      <c r="F11" s="96">
        <f>'Income Statement'!E25/'Income Statement'!E7</f>
        <v>0.27966407336802512</v>
      </c>
      <c r="G11" s="96">
        <f>'Income Statement'!F25/'Income Statement'!F7</f>
        <v>0.25854452452917925</v>
      </c>
      <c r="H11" s="96">
        <f>'Income Statement'!G25/'Income Statement'!G7</f>
        <v>0.29997054987588878</v>
      </c>
      <c r="I11" s="6" t="s">
        <v>159</v>
      </c>
    </row>
    <row r="12" spans="2:9" x14ac:dyDescent="0.25">
      <c r="B12" s="102" t="s">
        <v>147</v>
      </c>
      <c r="C12" s="95" t="s">
        <v>70</v>
      </c>
      <c r="D12" s="96">
        <f>'Income Statement'!C15/'Income Statement'!C7</f>
        <v>0.51428571428571423</v>
      </c>
      <c r="E12" s="96">
        <f>'Income Statement'!D15/'Income Statement'!D7</f>
        <v>0.53061456321708511</v>
      </c>
      <c r="F12" s="96">
        <f>'Income Statement'!E15/'Income Statement'!E7</f>
        <v>0.53609150394147043</v>
      </c>
      <c r="G12" s="96">
        <f>'Income Statement'!F15/'Income Statement'!F7</f>
        <v>0.57688909555917234</v>
      </c>
      <c r="H12" s="96">
        <f>'Income Statement'!G15/'Income Statement'!G7</f>
        <v>0.52639993268543062</v>
      </c>
      <c r="I12" s="6" t="s">
        <v>160</v>
      </c>
    </row>
    <row r="13" spans="2:9" x14ac:dyDescent="0.25">
      <c r="B13" s="102" t="s">
        <v>140</v>
      </c>
      <c r="C13" s="95" t="s">
        <v>71</v>
      </c>
      <c r="D13" s="97" t="s">
        <v>4</v>
      </c>
      <c r="E13" s="96">
        <f>'Income Statement'!D25/(('Balance Sheet'!D17+'Balance Sheet'!C17)/2)</f>
        <v>0.17487041870381942</v>
      </c>
      <c r="F13" s="96">
        <f>'Income Statement'!E25/(('Balance Sheet'!E17+'Balance Sheet'!D17)/2)</f>
        <v>0.1906434391683057</v>
      </c>
      <c r="G13" s="96">
        <f>'Income Statement'!F25/(('Balance Sheet'!F17+'Balance Sheet'!E17)/2)</f>
        <v>0.18530553750270792</v>
      </c>
      <c r="H13" s="96">
        <f>'Income Statement'!G25/(('Balance Sheet'!G17+'Balance Sheet'!F17)/2)</f>
        <v>0.23875699025550012</v>
      </c>
      <c r="I13" s="6" t="s">
        <v>161</v>
      </c>
    </row>
    <row r="14" spans="2:9" ht="15.75" customHeight="1" x14ac:dyDescent="0.25">
      <c r="B14" s="102" t="s">
        <v>140</v>
      </c>
      <c r="C14" s="95" t="s">
        <v>72</v>
      </c>
      <c r="D14" s="97" t="s">
        <v>4</v>
      </c>
      <c r="E14" s="96">
        <f>'Income Statement'!D25/(('Balance Sheet'!D31+'Balance Sheet'!C31)/2)</f>
        <v>0.32979755962285079</v>
      </c>
      <c r="F14" s="96">
        <f>'Income Statement'!E25/(('Balance Sheet'!E31+'Balance Sheet'!D31)/2)</f>
        <v>0.35513101508063727</v>
      </c>
      <c r="G14" s="96">
        <f>'Income Statement'!F25/(('Balance Sheet'!F31+'Balance Sheet'!E31)/2)</f>
        <v>0.36312575515135681</v>
      </c>
      <c r="H14" s="96">
        <f>'Income Statement'!G25/(('Balance Sheet'!G31+'Balance Sheet'!F31)/2)</f>
        <v>0.55425995024875618</v>
      </c>
      <c r="I14" s="6" t="s">
        <v>162</v>
      </c>
    </row>
    <row r="15" spans="2:9" x14ac:dyDescent="0.25">
      <c r="B15" s="103" t="s">
        <v>149</v>
      </c>
      <c r="C15" s="95" t="s">
        <v>73</v>
      </c>
      <c r="D15" s="96">
        <f>('Balance Sheet'!C20+'Balance Sheet'!C24)/'Balance Sheet'!C31</f>
        <v>0.27863756166790565</v>
      </c>
      <c r="E15" s="96">
        <f>('Balance Sheet'!D20+'Balance Sheet'!D24)/'Balance Sheet'!D31</f>
        <v>0.29385808839228522</v>
      </c>
      <c r="F15" s="96">
        <f>('Balance Sheet'!E20+'Balance Sheet'!E24)/'Balance Sheet'!E31</f>
        <v>0.22000242160067804</v>
      </c>
      <c r="G15" s="96">
        <f>('Balance Sheet'!F20+'Balance Sheet'!F24)/'Balance Sheet'!F31</f>
        <v>0.39900744416873452</v>
      </c>
      <c r="H15" s="96">
        <f>('Balance Sheet'!G20+'Balance Sheet'!G24)/'Balance Sheet'!G31</f>
        <v>0.53428546846769331</v>
      </c>
      <c r="I15" s="6" t="s">
        <v>163</v>
      </c>
    </row>
    <row r="16" spans="2:9" ht="15" customHeight="1" x14ac:dyDescent="0.25">
      <c r="B16" s="103" t="s">
        <v>149</v>
      </c>
      <c r="C16" s="95" t="s">
        <v>74</v>
      </c>
      <c r="D16" s="96">
        <f>('Balance Sheet'!C20+'Balance Sheet'!C24)/'Balance Sheet'!C17</f>
        <v>0.15135274035461252</v>
      </c>
      <c r="E16" s="96">
        <f>('Balance Sheet'!D20+'Balance Sheet'!D24)/'Balance Sheet'!D17</f>
        <v>0.15199705503405117</v>
      </c>
      <c r="F16" s="96">
        <f>('Balance Sheet'!E20+'Balance Sheet'!E24)/'Balance Sheet'!E17</f>
        <v>0.12203230464421236</v>
      </c>
      <c r="G16" s="96">
        <f>('Balance Sheet'!F20+'Balance Sheet'!F24)/'Balance Sheet'!F17</f>
        <v>0.18617267614952035</v>
      </c>
      <c r="H16" s="96">
        <f>('Balance Sheet'!G20+'Balance Sheet'!G24)/'Balance Sheet'!G17</f>
        <v>0.21053702196908056</v>
      </c>
      <c r="I16" s="6" t="s">
        <v>164</v>
      </c>
    </row>
    <row r="17" spans="2:9" ht="15" customHeight="1" x14ac:dyDescent="0.25">
      <c r="B17" s="103" t="s">
        <v>149</v>
      </c>
      <c r="C17" s="95" t="s">
        <v>75</v>
      </c>
      <c r="D17" s="96">
        <f>('Balance Sheet'!C24+'Balance Sheet'!C20)/(('Balance Sheet'!C20+'Balance Sheet'!C24)+'Balance Sheet'!C31)</f>
        <v>0.21791754756871035</v>
      </c>
      <c r="E17" s="96">
        <f>('Balance Sheet'!D24+'Balance Sheet'!D20)/(('Balance Sheet'!D20+'Balance Sheet'!D24)+'Balance Sheet'!D31)</f>
        <v>0.22711771177117712</v>
      </c>
      <c r="F17" s="96">
        <f>('Balance Sheet'!E24+'Balance Sheet'!E20)/(('Balance Sheet'!E20+'Balance Sheet'!E24)+'Balance Sheet'!E31)</f>
        <v>0.18032949583167923</v>
      </c>
      <c r="G17" s="96">
        <f>('Balance Sheet'!F24+'Balance Sheet'!F20)/(('Balance Sheet'!F20+'Balance Sheet'!F24)+'Balance Sheet'!F31)</f>
        <v>0.28520752039730402</v>
      </c>
      <c r="H17" s="96">
        <f>('Balance Sheet'!G24+'Balance Sheet'!G20)/(('Balance Sheet'!G20+'Balance Sheet'!G24)+'Balance Sheet'!G31)</f>
        <v>0.34823080805248696</v>
      </c>
      <c r="I17" s="6" t="s">
        <v>165</v>
      </c>
    </row>
    <row r="18" spans="2:9" ht="15" customHeight="1" x14ac:dyDescent="0.25">
      <c r="B18" s="103" t="s">
        <v>149</v>
      </c>
      <c r="C18" s="95" t="s">
        <v>76</v>
      </c>
      <c r="D18" s="98">
        <f>'Balance Sheet'!C20+'Balance Sheet'!C24-'Balance Sheet'!C7</f>
        <v>279</v>
      </c>
      <c r="E18" s="98">
        <f>'Balance Sheet'!D20+'Balance Sheet'!D24-'Balance Sheet'!D7</f>
        <v>-107</v>
      </c>
      <c r="F18" s="98">
        <f>'Balance Sheet'!E20+'Balance Sheet'!E24-'Balance Sheet'!E7</f>
        <v>-3507</v>
      </c>
      <c r="G18" s="98">
        <f>'Balance Sheet'!F20+'Balance Sheet'!F24-'Balance Sheet'!F7</f>
        <v>-1985</v>
      </c>
      <c r="H18" s="98">
        <f>'Balance Sheet'!G20+'Balance Sheet'!G24-'Balance Sheet'!G7</f>
        <v>779</v>
      </c>
      <c r="I18" s="6" t="s">
        <v>166</v>
      </c>
    </row>
    <row r="19" spans="2:9" ht="15" customHeight="1" x14ac:dyDescent="0.25">
      <c r="B19" s="103" t="s">
        <v>149</v>
      </c>
      <c r="C19" s="95" t="s">
        <v>77</v>
      </c>
      <c r="D19" s="104">
        <f>'Income Statement'!C33/'Income Statement'!C19</f>
        <v>51.345132743362832</v>
      </c>
      <c r="E19" s="104">
        <f>'Income Statement'!D33/'Income Statement'!D19</f>
        <v>54.455357142857146</v>
      </c>
      <c r="F19" s="104">
        <f>'Income Statement'!E33/'Income Statement'!E19</f>
        <v>58.849557522123895</v>
      </c>
      <c r="G19" s="104">
        <f>'Income Statement'!F33/'Income Statement'!F19</f>
        <v>39.887573964497044</v>
      </c>
      <c r="H19" s="104">
        <f>'Income Statement'!G33/'Income Statement'!G19</f>
        <v>33.102661596958178</v>
      </c>
      <c r="I19" s="6" t="s">
        <v>167</v>
      </c>
    </row>
    <row r="20" spans="2:9" ht="15" customHeight="1" x14ac:dyDescent="0.25">
      <c r="B20" s="103" t="s">
        <v>150</v>
      </c>
      <c r="C20" s="95" t="s">
        <v>78</v>
      </c>
      <c r="D20" s="80" t="s">
        <v>4</v>
      </c>
      <c r="E20" s="99">
        <f>'Income Statement'!D7/(('Balance Sheet'!D17+'Balance Sheet'!C17)/2)</f>
        <v>0.64720802852626547</v>
      </c>
      <c r="F20" s="99">
        <f>'Income Statement'!E7/(('Balance Sheet'!E17+'Balance Sheet'!D17)/2)</f>
        <v>0.68168727170553522</v>
      </c>
      <c r="G20" s="99">
        <f>'Income Statement'!F7/(('Balance Sheet'!F17+'Balance Sheet'!E17)/2)</f>
        <v>0.71672582445966437</v>
      </c>
      <c r="H20" s="99">
        <f>'Income Statement'!G7/(('Balance Sheet'!G17+'Balance Sheet'!F17)/2)</f>
        <v>0.79593476877741687</v>
      </c>
      <c r="I20" s="6" t="s">
        <v>168</v>
      </c>
    </row>
    <row r="21" spans="2:9" x14ac:dyDescent="0.25">
      <c r="B21" s="103" t="s">
        <v>150</v>
      </c>
      <c r="C21" s="95" t="s">
        <v>79</v>
      </c>
      <c r="D21" s="80" t="s">
        <v>4</v>
      </c>
      <c r="E21" s="99">
        <f>'Income Statement'!D7/(('Balance Sheet'!D11+'Balance Sheet'!C11)/2)</f>
        <v>9.8330075397933534</v>
      </c>
      <c r="F21" s="99">
        <f>'Income Statement'!E7/(('Balance Sheet'!E11+'Balance Sheet'!D11)/2)</f>
        <v>9.8572879634332153</v>
      </c>
      <c r="G21" s="99">
        <f>'Income Statement'!F7/(('Balance Sheet'!F11+'Balance Sheet'!E11)/2)</f>
        <v>10.844679778113969</v>
      </c>
      <c r="H21" s="99">
        <f>'Income Statement'!G7/(('Balance Sheet'!G11+'Balance Sheet'!F11)/2)</f>
        <v>12.480441060645839</v>
      </c>
      <c r="I21" s="6" t="s">
        <v>169</v>
      </c>
    </row>
    <row r="22" spans="2:9" ht="15" customHeight="1" x14ac:dyDescent="0.25">
      <c r="B22" s="103" t="s">
        <v>150</v>
      </c>
      <c r="C22" s="95" t="s">
        <v>80</v>
      </c>
      <c r="D22" s="80" t="s">
        <v>4</v>
      </c>
      <c r="E22" s="99">
        <f>'Income Statement'!D7/(('Balance Sheet'!D9-'Balance Sheet'!D22)+('Balance Sheet'!C9-'Balance Sheet'!C22)/2)</f>
        <v>10.138784912179672</v>
      </c>
      <c r="F22" s="99">
        <f>'Income Statement'!E7/(('Balance Sheet'!E9-'Balance Sheet'!E22)+('Balance Sheet'!D9-'Balance Sheet'!D22)/2)</f>
        <v>5.9409243954698496</v>
      </c>
      <c r="G22" s="99">
        <f>'Income Statement'!F7/(('Balance Sheet'!F9-'Balance Sheet'!F22)+('Balance Sheet'!E9-'Balance Sheet'!E22)/2)</f>
        <v>10.108108108108109</v>
      </c>
      <c r="H22" s="99">
        <f>'Income Statement'!G7/(('Balance Sheet'!G9-'Balance Sheet'!G22)+('Balance Sheet'!F9-'Balance Sheet'!F22)/2)</f>
        <v>74.627943485086348</v>
      </c>
      <c r="I22" s="6" t="s">
        <v>170</v>
      </c>
    </row>
    <row r="23" spans="2:9" ht="15.75" customHeight="1" x14ac:dyDescent="0.25">
      <c r="B23" s="103" t="s">
        <v>143</v>
      </c>
      <c r="C23" s="95" t="s">
        <v>81</v>
      </c>
      <c r="D23" s="96">
        <f>Cashflow!C12/'Income Statement'!C7</f>
        <v>0.45802977510294585</v>
      </c>
      <c r="E23" s="96">
        <f>Cashflow!D12/'Income Statement'!D7</f>
        <v>0.44524593888447123</v>
      </c>
      <c r="F23" s="96">
        <f>Cashflow!E12/'Income Statement'!E7</f>
        <v>0.37621721881601317</v>
      </c>
      <c r="G23" s="96">
        <f>Cashflow!F12/'Income Statement'!F7</f>
        <v>0.37461055568472446</v>
      </c>
      <c r="H23" s="96">
        <f>Cashflow!G12/'Income Statement'!G7</f>
        <v>0.4220202785140309</v>
      </c>
      <c r="I23" s="6" t="s">
        <v>171</v>
      </c>
    </row>
    <row r="24" spans="2:9" x14ac:dyDescent="0.25">
      <c r="B24" s="103" t="s">
        <v>143</v>
      </c>
      <c r="C24" s="95" t="s">
        <v>82</v>
      </c>
      <c r="D24" s="100">
        <f>Cashflow!C12+Cashflow!C15</f>
        <v>6882</v>
      </c>
      <c r="E24" s="100">
        <f>Cashflow!D12+Cashflow!D15</f>
        <v>7397</v>
      </c>
      <c r="F24" s="100">
        <f>Cashflow!E12+Cashflow!E15</f>
        <v>6942</v>
      </c>
      <c r="G24" s="100">
        <f>Cashflow!F12+Cashflow!F15</f>
        <v>7873</v>
      </c>
      <c r="H24" s="100">
        <f>Cashflow!G12+Cashflow!G15</f>
        <v>9852</v>
      </c>
      <c r="I24" s="6" t="s">
        <v>172</v>
      </c>
    </row>
    <row r="25" spans="2:9" ht="15" customHeight="1" x14ac:dyDescent="0.25">
      <c r="B25" s="103" t="s">
        <v>143</v>
      </c>
      <c r="C25" s="95" t="s">
        <v>83</v>
      </c>
      <c r="D25" s="96">
        <f>D24/'Income Statement'!C7</f>
        <v>0.43598352866645551</v>
      </c>
      <c r="E25" s="96">
        <f>E24/'Income Statement'!D7</f>
        <v>0.42014086107008974</v>
      </c>
      <c r="F25" s="96">
        <f>F24/'Income Statement'!E7</f>
        <v>0.35766912257200267</v>
      </c>
      <c r="G25" s="96">
        <f>G24/'Income Statement'!F7</f>
        <v>0.36610090676586843</v>
      </c>
      <c r="H25" s="96">
        <f>H24/'Income Statement'!G7</f>
        <v>0.41448946106272877</v>
      </c>
      <c r="I25" s="6" t="s">
        <v>173</v>
      </c>
    </row>
    <row r="26" spans="2:9" ht="15" customHeight="1" x14ac:dyDescent="0.25">
      <c r="B26" s="103" t="s">
        <v>143</v>
      </c>
      <c r="C26" s="95" t="s">
        <v>84</v>
      </c>
      <c r="D26" s="99">
        <f>Cashflow!C12/'Income Statement'!C25</f>
        <v>1.4993778515138947</v>
      </c>
      <c r="E26" s="99">
        <f>Cashflow!D12/'Income Statement'!D25</f>
        <v>1.647887323943662</v>
      </c>
      <c r="F26" s="99">
        <f>Cashflow!E12/'Income Statement'!E25</f>
        <v>1.3452468680913781</v>
      </c>
      <c r="G26" s="99">
        <f>Cashflow!F12/'Income Statement'!F25</f>
        <v>1.4489208633093524</v>
      </c>
      <c r="H26" s="99">
        <f>Cashflow!G12/'Income Statement'!G25</f>
        <v>1.4068723702664796</v>
      </c>
      <c r="I26" s="6" t="s">
        <v>174</v>
      </c>
    </row>
    <row r="27" spans="2:9" ht="15" customHeight="1" x14ac:dyDescent="0.25">
      <c r="B27" s="103" t="s">
        <v>143</v>
      </c>
      <c r="C27" s="95" t="s">
        <v>151</v>
      </c>
      <c r="D27" s="101">
        <f>-Cashflow!C15/Cashflow!C12</f>
        <v>4.8132780082987554E-2</v>
      </c>
      <c r="E27" s="101">
        <f>-Cashflow!D15/Cashflow!D12</f>
        <v>5.6384742951907131E-2</v>
      </c>
      <c r="F27" s="101">
        <f>-Cashflow!E15/Cashflow!E12</f>
        <v>4.9301561216105176E-2</v>
      </c>
      <c r="G27" s="101">
        <f>-Cashflow!F15/Cashflow!F12</f>
        <v>2.2715988083416086E-2</v>
      </c>
      <c r="H27" s="101">
        <f>-Cashflow!G15/Cashflow!G12</f>
        <v>1.7844681487389095E-2</v>
      </c>
      <c r="I27" s="6" t="s">
        <v>175</v>
      </c>
    </row>
    <row r="28" spans="2:9" ht="15" customHeight="1" x14ac:dyDescent="0.25"/>
    <row r="29" spans="2:9" ht="15" customHeight="1" x14ac:dyDescent="0.25"/>
    <row r="30" spans="2:9" ht="15" customHeight="1" x14ac:dyDescent="0.25"/>
    <row r="31" spans="2:9" ht="15" customHeight="1" x14ac:dyDescent="0.25"/>
    <row r="32" spans="2:9" ht="15" customHeight="1" x14ac:dyDescent="0.25"/>
    <row r="34" ht="15.7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4" ht="15.7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</sheetData>
  <autoFilter ref="B6:I27" xr:uid="{00000000-0001-0000-0300-000000000000}"/>
  <mergeCells count="3">
    <mergeCell ref="C2:H3"/>
    <mergeCell ref="C4:H4"/>
    <mergeCell ref="C5:H5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BF8F00"/>
  </sheetPr>
  <dimension ref="A1:J17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12" sqref="C12"/>
    </sheetView>
  </sheetViews>
  <sheetFormatPr defaultColWidth="8.7109375" defaultRowHeight="15" x14ac:dyDescent="0.25"/>
  <cols>
    <col min="1" max="1" width="2" customWidth="1"/>
    <col min="2" max="2" width="28.42578125" bestFit="1" customWidth="1"/>
    <col min="3" max="3" width="12.5703125" bestFit="1" customWidth="1"/>
    <col min="4" max="10" width="11.85546875" customWidth="1"/>
  </cols>
  <sheetData>
    <row r="1" spans="1:10" ht="15" customHeight="1" x14ac:dyDescent="0.25">
      <c r="A1" s="107"/>
      <c r="B1" s="107"/>
      <c r="C1" s="109" t="s">
        <v>0</v>
      </c>
      <c r="D1" s="109"/>
      <c r="E1" s="109"/>
      <c r="F1" s="109"/>
      <c r="G1" s="109"/>
      <c r="H1" s="109"/>
      <c r="I1" s="109"/>
      <c r="J1" s="109"/>
    </row>
    <row r="2" spans="1:10" ht="15" customHeight="1" x14ac:dyDescent="0.25">
      <c r="A2" s="107"/>
      <c r="B2" s="107"/>
      <c r="C2" s="109"/>
      <c r="D2" s="109"/>
      <c r="E2" s="109"/>
      <c r="F2" s="109"/>
      <c r="G2" s="109"/>
      <c r="H2" s="109"/>
      <c r="I2" s="109"/>
      <c r="J2" s="109"/>
    </row>
    <row r="3" spans="1:10" ht="15" customHeight="1" x14ac:dyDescent="0.25">
      <c r="A3" s="107"/>
      <c r="B3" s="107"/>
      <c r="C3" s="110" t="s">
        <v>153</v>
      </c>
      <c r="D3" s="110"/>
      <c r="E3" s="110"/>
      <c r="F3" s="110"/>
      <c r="G3" s="110"/>
      <c r="H3" s="110"/>
      <c r="I3" s="110"/>
      <c r="J3" s="110"/>
    </row>
    <row r="4" spans="1:10" x14ac:dyDescent="0.25">
      <c r="A4" s="107"/>
      <c r="B4" s="107"/>
      <c r="C4" s="111" t="s">
        <v>145</v>
      </c>
      <c r="D4" s="111"/>
      <c r="E4" s="111"/>
      <c r="F4" s="111"/>
      <c r="G4" s="111"/>
      <c r="H4" s="111"/>
      <c r="I4" s="111"/>
      <c r="J4" s="111"/>
    </row>
    <row r="5" spans="1:10" ht="15.75" customHeight="1" x14ac:dyDescent="0.25">
      <c r="B5" s="29" t="s">
        <v>97</v>
      </c>
      <c r="C5" s="29">
        <v>2021</v>
      </c>
      <c r="D5" s="29">
        <v>2022</v>
      </c>
      <c r="E5" s="29">
        <v>2023</v>
      </c>
      <c r="F5" s="29">
        <v>2024</v>
      </c>
      <c r="G5" s="29">
        <v>2025</v>
      </c>
      <c r="H5" s="29">
        <v>2026</v>
      </c>
      <c r="I5" s="29">
        <v>2027</v>
      </c>
      <c r="J5" s="29">
        <v>2028</v>
      </c>
    </row>
    <row r="6" spans="1:10" ht="15" customHeight="1" x14ac:dyDescent="0.25">
      <c r="B6" s="4" t="s">
        <v>98</v>
      </c>
      <c r="C6" s="71">
        <v>11520</v>
      </c>
      <c r="D6" s="71">
        <v>12842</v>
      </c>
      <c r="E6" s="71">
        <v>14216</v>
      </c>
      <c r="F6" s="71">
        <v>15864</v>
      </c>
      <c r="G6" s="71">
        <v>17649</v>
      </c>
      <c r="H6" s="71">
        <f>G6*(1+$G$12)</f>
        <v>19664.909621927778</v>
      </c>
      <c r="I6" s="71">
        <f>H6*(1+$G$12)</f>
        <v>21911.081105931651</v>
      </c>
      <c r="J6" s="71">
        <f>I6*(1+$G$12)</f>
        <v>24413.815494751841</v>
      </c>
    </row>
    <row r="7" spans="1:10" ht="15" customHeight="1" x14ac:dyDescent="0.25">
      <c r="B7" s="4" t="s">
        <v>99</v>
      </c>
      <c r="C7" s="71">
        <v>3867</v>
      </c>
      <c r="D7" s="71">
        <v>4422</v>
      </c>
      <c r="E7" s="71">
        <v>4893</v>
      </c>
      <c r="F7" s="71">
        <v>5366</v>
      </c>
      <c r="G7" s="71">
        <v>5864</v>
      </c>
      <c r="H7" s="71">
        <f>G7*(1+$G$13)</f>
        <v>6419.5414922959226</v>
      </c>
      <c r="I7" s="71">
        <f>H7*(1+$G$13)</f>
        <v>7027.7136717784724</v>
      </c>
      <c r="J7" s="71">
        <f>I7*(1+$G$13)</f>
        <v>7693.502645286022</v>
      </c>
    </row>
    <row r="8" spans="1:10" ht="15" customHeight="1" x14ac:dyDescent="0.25">
      <c r="B8" s="4" t="s">
        <v>100</v>
      </c>
      <c r="C8" s="71">
        <v>398</v>
      </c>
      <c r="D8" s="71">
        <v>342</v>
      </c>
      <c r="E8" s="71">
        <v>300</v>
      </c>
      <c r="F8" s="71">
        <v>265</v>
      </c>
      <c r="G8" s="71">
        <v>256</v>
      </c>
      <c r="H8" s="71">
        <f>G8*(1+$G$14)</f>
        <v>236.71949685534591</v>
      </c>
      <c r="I8" s="71">
        <f>H8*(1+$G$14)</f>
        <v>218.89109449784422</v>
      </c>
      <c r="J8" s="71">
        <f>I8*(1+$G$14)</f>
        <v>202.40542873299086</v>
      </c>
    </row>
    <row r="10" spans="1:10" ht="15" customHeight="1" x14ac:dyDescent="0.25">
      <c r="B10" s="7" t="s">
        <v>101</v>
      </c>
    </row>
    <row r="11" spans="1:10" ht="15" customHeight="1" x14ac:dyDescent="0.25">
      <c r="B11" s="29" t="s">
        <v>97</v>
      </c>
      <c r="C11" s="29">
        <v>2022</v>
      </c>
      <c r="D11" s="29">
        <v>2023</v>
      </c>
      <c r="E11" s="29">
        <v>2024</v>
      </c>
      <c r="F11" s="29">
        <v>2025</v>
      </c>
      <c r="G11" s="112" t="s">
        <v>102</v>
      </c>
      <c r="H11" s="112"/>
      <c r="I11" s="112"/>
    </row>
    <row r="12" spans="1:10" x14ac:dyDescent="0.25">
      <c r="B12" s="4" t="s">
        <v>98</v>
      </c>
      <c r="C12" s="78">
        <f t="shared" ref="C12:F14" si="0">D6/C6-1</f>
        <v>0.11475694444444451</v>
      </c>
      <c r="D12" s="78">
        <f t="shared" si="0"/>
        <v>0.10699268026787112</v>
      </c>
      <c r="E12" s="78">
        <f t="shared" si="0"/>
        <v>0.11592571750140679</v>
      </c>
      <c r="F12" s="78">
        <f t="shared" si="0"/>
        <v>0.11251891074130116</v>
      </c>
      <c r="G12" s="106">
        <f>AVERAGE(E12:F12)</f>
        <v>0.11422231412135397</v>
      </c>
      <c r="H12" s="106"/>
      <c r="I12" s="106"/>
      <c r="J12" s="14"/>
    </row>
    <row r="13" spans="1:10" x14ac:dyDescent="0.25">
      <c r="B13" s="4" t="s">
        <v>99</v>
      </c>
      <c r="C13" s="78">
        <f t="shared" si="0"/>
        <v>0.14352211016291694</v>
      </c>
      <c r="D13" s="78">
        <f t="shared" si="0"/>
        <v>0.10651289009497966</v>
      </c>
      <c r="E13" s="78">
        <f t="shared" si="0"/>
        <v>9.6668710402616043E-2</v>
      </c>
      <c r="F13" s="78">
        <f t="shared" si="0"/>
        <v>9.2806559821095869E-2</v>
      </c>
      <c r="G13" s="106">
        <f>AVERAGE(E13:F13)</f>
        <v>9.4737635111855956E-2</v>
      </c>
      <c r="H13" s="106"/>
      <c r="I13" s="106"/>
      <c r="J13" s="14"/>
    </row>
    <row r="14" spans="1:10" x14ac:dyDescent="0.25">
      <c r="B14" s="4" t="s">
        <v>100</v>
      </c>
      <c r="C14" s="78">
        <f t="shared" si="0"/>
        <v>-0.14070351758793975</v>
      </c>
      <c r="D14" s="78">
        <f t="shared" si="0"/>
        <v>-0.1228070175438597</v>
      </c>
      <c r="E14" s="78">
        <f t="shared" si="0"/>
        <v>-0.1166666666666667</v>
      </c>
      <c r="F14" s="78">
        <f t="shared" si="0"/>
        <v>-3.3962264150943389E-2</v>
      </c>
      <c r="G14" s="106">
        <f>AVERAGE(E14:F14)</f>
        <v>-7.5314465408805042E-2</v>
      </c>
      <c r="H14" s="106"/>
      <c r="I14" s="106"/>
      <c r="J14" s="14"/>
    </row>
    <row r="16" spans="1:10" ht="15" customHeight="1" x14ac:dyDescent="0.25">
      <c r="B16" s="5" t="s">
        <v>95</v>
      </c>
    </row>
    <row r="17" spans="2:10" ht="30" customHeight="1" x14ac:dyDescent="0.25">
      <c r="B17" s="108" t="s">
        <v>103</v>
      </c>
      <c r="C17" s="108"/>
      <c r="D17" s="108"/>
      <c r="E17" s="108"/>
      <c r="F17" s="108"/>
      <c r="G17" s="108"/>
      <c r="H17" s="108"/>
      <c r="I17" s="108"/>
      <c r="J17" s="108"/>
    </row>
  </sheetData>
  <mergeCells count="9">
    <mergeCell ref="G12:I12"/>
    <mergeCell ref="G13:I13"/>
    <mergeCell ref="G14:I14"/>
    <mergeCell ref="A1:B4"/>
    <mergeCell ref="B17:J17"/>
    <mergeCell ref="C1:J2"/>
    <mergeCell ref="C3:J3"/>
    <mergeCell ref="C4:J4"/>
    <mergeCell ref="G11:I1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BF8F00"/>
  </sheetPr>
  <dimension ref="B1:R33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E8" sqref="E8"/>
    </sheetView>
  </sheetViews>
  <sheetFormatPr defaultColWidth="8.7109375" defaultRowHeight="15" x14ac:dyDescent="0.25"/>
  <cols>
    <col min="1" max="1" width="2" customWidth="1"/>
    <col min="2" max="2" width="42" customWidth="1"/>
    <col min="3" max="5" width="19.42578125" customWidth="1"/>
    <col min="6" max="6" width="1.5703125" customWidth="1"/>
    <col min="7" max="7" width="11.5703125" bestFit="1" customWidth="1"/>
    <col min="8" max="8" width="52" customWidth="1"/>
  </cols>
  <sheetData>
    <row r="1" spans="2:18" ht="17.25" customHeight="1" x14ac:dyDescent="0.25">
      <c r="B1" s="115"/>
      <c r="C1" s="109" t="s">
        <v>0</v>
      </c>
      <c r="D1" s="109"/>
      <c r="E1" s="109"/>
      <c r="F1" s="107"/>
      <c r="G1" s="107"/>
      <c r="H1" s="107"/>
    </row>
    <row r="2" spans="2:18" ht="18" customHeight="1" x14ac:dyDescent="0.25">
      <c r="B2" s="115"/>
      <c r="C2" s="109"/>
      <c r="D2" s="109"/>
      <c r="E2" s="109"/>
      <c r="F2" s="107"/>
      <c r="G2" s="107"/>
      <c r="H2" s="107"/>
    </row>
    <row r="3" spans="2:18" ht="26.25" customHeight="1" x14ac:dyDescent="0.25">
      <c r="B3" s="115"/>
      <c r="C3" s="110" t="s">
        <v>86</v>
      </c>
      <c r="D3" s="110"/>
      <c r="E3" s="110"/>
      <c r="F3" s="107"/>
      <c r="G3" s="107"/>
      <c r="H3" s="107"/>
    </row>
    <row r="4" spans="2:18" x14ac:dyDescent="0.25">
      <c r="B4" s="115"/>
      <c r="C4" s="111" t="s">
        <v>145</v>
      </c>
      <c r="D4" s="111"/>
      <c r="E4" s="111"/>
      <c r="F4" s="107"/>
      <c r="G4" s="107"/>
      <c r="H4" s="107"/>
    </row>
    <row r="5" spans="2:18" ht="15" customHeight="1" x14ac:dyDescent="0.25">
      <c r="B5" s="28" t="s">
        <v>87</v>
      </c>
      <c r="C5" s="29">
        <v>2026</v>
      </c>
      <c r="D5" s="29">
        <v>2027</v>
      </c>
      <c r="E5" s="29">
        <v>2028</v>
      </c>
      <c r="G5" s="17" t="s">
        <v>134</v>
      </c>
      <c r="H5" s="17" t="s">
        <v>88</v>
      </c>
    </row>
    <row r="6" spans="2:18" x14ac:dyDescent="0.25">
      <c r="B6" s="20"/>
      <c r="C6" s="20"/>
      <c r="D6" s="20"/>
      <c r="E6" s="20"/>
    </row>
    <row r="7" spans="2:18" ht="15" customHeight="1" x14ac:dyDescent="0.25">
      <c r="B7" s="21" t="s">
        <v>3</v>
      </c>
      <c r="C7" s="23">
        <f>'Revenue Forecasting'!H6+'Revenue Forecasting'!H7+'Revenue Forecasting'!H8</f>
        <v>26321.170611079047</v>
      </c>
      <c r="D7" s="23">
        <f>'Revenue Forecasting'!I6+'Revenue Forecasting'!I7+'Revenue Forecasting'!I8</f>
        <v>29157.685872207967</v>
      </c>
      <c r="E7" s="23">
        <f>'Revenue Forecasting'!J6+'Revenue Forecasting'!J7+'Revenue Forecasting'!J8</f>
        <v>32309.723568770853</v>
      </c>
      <c r="F7" s="8"/>
      <c r="H7" s="6" t="s">
        <v>89</v>
      </c>
    </row>
    <row r="8" spans="2:18" ht="15" customHeight="1" x14ac:dyDescent="0.25">
      <c r="B8" s="21" t="s">
        <v>5</v>
      </c>
      <c r="C8" s="23">
        <f>C7*$G$8</f>
        <v>2855.4993802135091</v>
      </c>
      <c r="D8" s="23">
        <f>D7*$G$8</f>
        <v>3163.2238233927383</v>
      </c>
      <c r="E8" s="23">
        <f>E7*$G$8</f>
        <v>3505.178283623181</v>
      </c>
      <c r="F8" s="8"/>
      <c r="G8" s="18">
        <f>AVERAGE('Income Statement'!F8/'Income Statement'!F7,'Income Statement'!G8/'Income Statement'!G7)</f>
        <v>0.10848679271930173</v>
      </c>
      <c r="H8" s="6" t="s">
        <v>90</v>
      </c>
    </row>
    <row r="9" spans="2:18" ht="15" customHeight="1" thickBot="1" x14ac:dyDescent="0.3">
      <c r="B9" s="19" t="s">
        <v>6</v>
      </c>
      <c r="C9" s="27">
        <f>C7-C8</f>
        <v>23465.671230865537</v>
      </c>
      <c r="D9" s="27">
        <f>D7-D8</f>
        <v>25994.462048815229</v>
      </c>
      <c r="E9" s="27">
        <f>E7-E8</f>
        <v>28804.545285147673</v>
      </c>
      <c r="F9" s="9"/>
    </row>
    <row r="10" spans="2:18" x14ac:dyDescent="0.25">
      <c r="B10" s="20"/>
      <c r="C10" s="24"/>
      <c r="D10" s="24"/>
      <c r="E10" s="24"/>
    </row>
    <row r="11" spans="2:18" ht="15" customHeight="1" x14ac:dyDescent="0.25">
      <c r="B11" s="21" t="s">
        <v>7</v>
      </c>
      <c r="C11" s="23">
        <f>C7*$G11</f>
        <v>4791.1727392145049</v>
      </c>
      <c r="D11" s="23">
        <f>D7*$G11</f>
        <v>5307.4960743083629</v>
      </c>
      <c r="E11" s="23">
        <f>E7*$G11</f>
        <v>5881.2531198400648</v>
      </c>
      <c r="F11" s="8"/>
      <c r="G11" s="18">
        <f>AVERAGE('Income Statement'!F11/'Income Statement'!F7,'Income Statement'!G11/'Income Statement'!G7)</f>
        <v>0.1820273425528352</v>
      </c>
      <c r="H11" s="6" t="s">
        <v>90</v>
      </c>
    </row>
    <row r="12" spans="2:18" ht="15" customHeight="1" x14ac:dyDescent="0.25">
      <c r="B12" s="21" t="s">
        <v>8</v>
      </c>
      <c r="C12" s="23">
        <f>C7*$G12</f>
        <v>7119.7617510485752</v>
      </c>
      <c r="D12" s="23">
        <f>D7*$G12</f>
        <v>7887.0267470039853</v>
      </c>
      <c r="E12" s="23">
        <f>E7*$G12</f>
        <v>8739.6391844008831</v>
      </c>
      <c r="F12" s="8"/>
      <c r="G12" s="18">
        <f>AVERAGE('Income Statement'!F12/'Income Statement'!F7,'Income Statement'!G12/'Income Statement'!G7)</f>
        <v>0.27049563472119059</v>
      </c>
      <c r="H12" s="6" t="s">
        <v>90</v>
      </c>
    </row>
    <row r="13" spans="2:18" ht="15" customHeight="1" x14ac:dyDescent="0.25">
      <c r="B13" s="21" t="s">
        <v>9</v>
      </c>
      <c r="C13" s="23">
        <f>C7*$G13</f>
        <v>1806.6638343346915</v>
      </c>
      <c r="D13" s="23">
        <f>D7*$G13</f>
        <v>2001.3599446840919</v>
      </c>
      <c r="E13" s="23">
        <f>E7*$G13</f>
        <v>2217.7132594733212</v>
      </c>
      <c r="F13" s="8"/>
      <c r="G13" s="18">
        <f>AVERAGE('Income Statement'!F13/'Income Statement'!F7,'Income Statement'!G13/'Income Statement'!G7)</f>
        <v>6.8639190142030945E-2</v>
      </c>
      <c r="H13" s="6" t="s">
        <v>90</v>
      </c>
      <c r="R13" t="s">
        <v>144</v>
      </c>
    </row>
    <row r="14" spans="2:18" ht="15" customHeight="1" x14ac:dyDescent="0.25">
      <c r="B14" s="21" t="s">
        <v>10</v>
      </c>
      <c r="C14" s="23">
        <f>C7*$G14</f>
        <v>802.33104828112994</v>
      </c>
      <c r="D14" s="23">
        <f>D7*$G14</f>
        <v>888.79468990841588</v>
      </c>
      <c r="E14" s="23">
        <f>E7*$G14</f>
        <v>984.87619580619867</v>
      </c>
      <c r="F14" s="8"/>
      <c r="G14" s="18">
        <f>AVERAGE('Income Statement'!F14/'Income Statement'!F7,'Income Statement'!G14/'Income Statement'!G7)</f>
        <v>3.0482346706244692E-2</v>
      </c>
      <c r="H14" s="6" t="s">
        <v>90</v>
      </c>
    </row>
    <row r="15" spans="2:18" ht="15" customHeight="1" thickBot="1" x14ac:dyDescent="0.3">
      <c r="B15" s="19" t="s">
        <v>11</v>
      </c>
      <c r="C15" s="27">
        <f>SUM(C11:C14)</f>
        <v>14519.929372878902</v>
      </c>
      <c r="D15" s="27">
        <f>SUM(D11:D14)</f>
        <v>16084.677455904857</v>
      </c>
      <c r="E15" s="27">
        <f>SUM(E11:E14)</f>
        <v>17823.481759520469</v>
      </c>
      <c r="F15" s="9"/>
    </row>
    <row r="16" spans="2:18" x14ac:dyDescent="0.25">
      <c r="B16" s="20"/>
      <c r="C16" s="24"/>
      <c r="D16" s="24"/>
      <c r="E16" s="24"/>
    </row>
    <row r="17" spans="2:8" ht="15" customHeight="1" thickBot="1" x14ac:dyDescent="0.3">
      <c r="B17" s="19" t="s">
        <v>12</v>
      </c>
      <c r="C17" s="27">
        <f>C9-C15</f>
        <v>8945.7418579866353</v>
      </c>
      <c r="D17" s="27">
        <f>D9-D15</f>
        <v>9909.7845929103714</v>
      </c>
      <c r="E17" s="27">
        <f>E9-E15</f>
        <v>10981.063525627203</v>
      </c>
      <c r="F17" s="9"/>
    </row>
    <row r="18" spans="2:8" x14ac:dyDescent="0.25">
      <c r="B18" s="20"/>
      <c r="C18" s="24"/>
      <c r="D18" s="24"/>
      <c r="E18" s="24"/>
    </row>
    <row r="19" spans="2:8" ht="15" customHeight="1" x14ac:dyDescent="0.25">
      <c r="B19" s="21" t="s">
        <v>13</v>
      </c>
      <c r="C19" s="23">
        <f>C7*$G$19</f>
        <v>249.04393951156649</v>
      </c>
      <c r="D19" s="23">
        <f>D7*$G$19</f>
        <v>275.88229505259562</v>
      </c>
      <c r="E19" s="23">
        <f>E7*$G$19</f>
        <v>305.70604024387393</v>
      </c>
      <c r="F19" s="8"/>
      <c r="G19" s="18">
        <f>AVERAGE('Income Statement'!F19/'Income Statement'!F7,'Income Statement'!G19/'Income Statement'!G7)</f>
        <v>9.4617349354036515E-3</v>
      </c>
      <c r="H19" s="6" t="s">
        <v>90</v>
      </c>
    </row>
    <row r="20" spans="2:8" ht="15" customHeight="1" x14ac:dyDescent="0.25">
      <c r="B20" s="21" t="s">
        <v>14</v>
      </c>
      <c r="C20" s="23">
        <f>C7*$G$20</f>
        <v>380.8229803375998</v>
      </c>
      <c r="D20" s="23">
        <f>D7*$G$20</f>
        <v>421.86257585853463</v>
      </c>
      <c r="E20" s="23">
        <f>E7*$G$20</f>
        <v>467.46724927819952</v>
      </c>
      <c r="F20" s="8"/>
      <c r="G20" s="18">
        <f>AVERAGE('Income Statement'!F20/'Income Statement'!F7,'Income Statement'!G20/'Income Statement'!G7)</f>
        <v>1.4468314725231281E-2</v>
      </c>
      <c r="H20" s="6" t="s">
        <v>90</v>
      </c>
    </row>
    <row r="21" spans="2:8" ht="15" customHeight="1" thickBot="1" x14ac:dyDescent="0.3">
      <c r="B21" s="19" t="s">
        <v>15</v>
      </c>
      <c r="C21" s="27">
        <f>C20-C19</f>
        <v>131.77904082603331</v>
      </c>
      <c r="D21" s="27">
        <f>D20-D19</f>
        <v>145.980280805939</v>
      </c>
      <c r="E21" s="27">
        <f>E20-E19</f>
        <v>161.76120903432559</v>
      </c>
      <c r="F21" s="10"/>
    </row>
    <row r="22" spans="2:8" x14ac:dyDescent="0.25">
      <c r="B22" s="20"/>
      <c r="C22" s="24"/>
      <c r="D22" s="24"/>
      <c r="E22" s="24"/>
    </row>
    <row r="23" spans="2:8" ht="15" customHeight="1" thickBot="1" x14ac:dyDescent="0.3">
      <c r="B23" s="19" t="s">
        <v>16</v>
      </c>
      <c r="C23" s="27">
        <f>C17+C21</f>
        <v>9077.5208988126687</v>
      </c>
      <c r="D23" s="27">
        <f>D17+D21</f>
        <v>10055.764873716311</v>
      </c>
      <c r="E23" s="27">
        <f>E17+E21</f>
        <v>11142.82473466153</v>
      </c>
      <c r="F23" s="9"/>
    </row>
    <row r="24" spans="2:8" ht="15" customHeight="1" x14ac:dyDescent="0.25">
      <c r="B24" s="21" t="s">
        <v>17</v>
      </c>
      <c r="C24" s="23">
        <f>C23*$G$24</f>
        <v>1731.3422048611194</v>
      </c>
      <c r="D24" s="23">
        <f>D23*$G$24</f>
        <v>1917.921238859632</v>
      </c>
      <c r="E24" s="23">
        <f>E23*$G$24</f>
        <v>2125.2545666970914</v>
      </c>
      <c r="F24" s="8"/>
      <c r="G24" s="18">
        <f>AVERAGE('Income Statement'!F24/'Income Statement'!F23,'Income Statement'!G24/'Income Statement'!G23)</f>
        <v>0.19072852865451154</v>
      </c>
      <c r="H24" s="6" t="s">
        <v>91</v>
      </c>
    </row>
    <row r="25" spans="2:8" ht="15" customHeight="1" thickBot="1" x14ac:dyDescent="0.3">
      <c r="B25" s="19" t="s">
        <v>18</v>
      </c>
      <c r="C25" s="27">
        <f>C23-C24</f>
        <v>7346.1786939515496</v>
      </c>
      <c r="D25" s="27">
        <f>D23-D24</f>
        <v>8137.8436348566793</v>
      </c>
      <c r="E25" s="27">
        <f>E23-E24</f>
        <v>9017.570167964439</v>
      </c>
      <c r="F25" s="9"/>
    </row>
    <row r="26" spans="2:8" x14ac:dyDescent="0.25">
      <c r="B26" s="20"/>
      <c r="C26" s="24"/>
      <c r="D26" s="24"/>
      <c r="E26" s="24"/>
    </row>
    <row r="27" spans="2:8" ht="15" customHeight="1" x14ac:dyDescent="0.25">
      <c r="B27" s="19" t="s">
        <v>19</v>
      </c>
      <c r="C27" s="30">
        <f>C25/C28</f>
        <v>17.895685003536052</v>
      </c>
      <c r="D27" s="30">
        <f>D25/D28</f>
        <v>20.602135784447288</v>
      </c>
      <c r="E27" s="30">
        <f>E25/E28</f>
        <v>23.761713222567693</v>
      </c>
      <c r="F27" s="11"/>
    </row>
    <row r="28" spans="2:8" ht="15" customHeight="1" x14ac:dyDescent="0.25">
      <c r="B28" s="21" t="s">
        <v>92</v>
      </c>
      <c r="C28" s="25">
        <f>'Income Statement'!G28+$G$28</f>
        <v>410.5</v>
      </c>
      <c r="D28" s="25">
        <f>C28+$G$28</f>
        <v>395</v>
      </c>
      <c r="E28" s="25">
        <f>D28+$G$28</f>
        <v>379.5</v>
      </c>
      <c r="F28" s="12"/>
      <c r="G28" s="26">
        <f>AVERAGE('Income Statement'!F28-'Income Statement'!E28,'Income Statement'!G28-'Income Statement'!F28)</f>
        <v>-15.5</v>
      </c>
      <c r="H28" s="6" t="s">
        <v>93</v>
      </c>
    </row>
    <row r="29" spans="2:8" ht="15" customHeight="1" x14ac:dyDescent="0.25">
      <c r="B29" s="19" t="s">
        <v>21</v>
      </c>
      <c r="C29" s="30">
        <f>C25/C30</f>
        <v>17.873914097205716</v>
      </c>
      <c r="D29" s="30">
        <f>D25/D30</f>
        <v>20.602135784447288</v>
      </c>
      <c r="E29" s="30">
        <f>E25/E30</f>
        <v>23.79306112919377</v>
      </c>
      <c r="F29" s="11"/>
    </row>
    <row r="30" spans="2:8" ht="15" customHeight="1" x14ac:dyDescent="0.25">
      <c r="B30" s="21" t="s">
        <v>94</v>
      </c>
      <c r="C30" s="25">
        <f>'Income Statement'!G30+$G$30</f>
        <v>411</v>
      </c>
      <c r="D30" s="25">
        <f>C30+$G$30</f>
        <v>395</v>
      </c>
      <c r="E30" s="25">
        <f>D30+$G$30</f>
        <v>379</v>
      </c>
      <c r="F30" s="12"/>
      <c r="G30" s="26">
        <f>AVERAGE('Income Statement'!F30-'Income Statement'!E30,'Income Statement'!G30-'Income Statement'!F30)</f>
        <v>-16</v>
      </c>
      <c r="H30" s="6" t="s">
        <v>93</v>
      </c>
    </row>
    <row r="32" spans="2:8" ht="15" customHeight="1" x14ac:dyDescent="0.25">
      <c r="B32" s="13" t="s">
        <v>95</v>
      </c>
    </row>
    <row r="33" spans="2:8" ht="42" customHeight="1" x14ac:dyDescent="0.25">
      <c r="B33" s="114" t="s">
        <v>96</v>
      </c>
      <c r="C33" s="114"/>
      <c r="D33" s="114"/>
      <c r="E33" s="114"/>
      <c r="F33" s="114"/>
      <c r="G33" s="114"/>
      <c r="H33" s="114"/>
    </row>
  </sheetData>
  <mergeCells count="6">
    <mergeCell ref="B33:H33"/>
    <mergeCell ref="C3:E3"/>
    <mergeCell ref="C4:E4"/>
    <mergeCell ref="C1:E2"/>
    <mergeCell ref="B1:B4"/>
    <mergeCell ref="F1:H4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BF8F00"/>
  </sheetPr>
  <dimension ref="B1:H38"/>
  <sheetViews>
    <sheetView zoomScaleNormal="100" workbookViewId="0">
      <selection activeCell="E8" sqref="E8"/>
    </sheetView>
  </sheetViews>
  <sheetFormatPr defaultColWidth="8.7109375" defaultRowHeight="15" x14ac:dyDescent="0.25"/>
  <cols>
    <col min="1" max="1" width="2" customWidth="1"/>
    <col min="2" max="2" width="42" customWidth="1"/>
    <col min="3" max="5" width="18.85546875" customWidth="1"/>
    <col min="6" max="6" width="1.28515625" customWidth="1"/>
    <col min="7" max="7" width="11.5703125" bestFit="1" customWidth="1"/>
    <col min="8" max="8" width="77.42578125" bestFit="1" customWidth="1"/>
  </cols>
  <sheetData>
    <row r="1" spans="2:8" ht="17.25" customHeight="1" x14ac:dyDescent="0.25">
      <c r="B1" s="116"/>
      <c r="C1" s="109" t="s">
        <v>0</v>
      </c>
      <c r="D1" s="109"/>
      <c r="E1" s="109"/>
      <c r="F1" s="107"/>
      <c r="G1" s="107"/>
      <c r="H1" s="107"/>
    </row>
    <row r="2" spans="2:8" x14ac:dyDescent="0.25">
      <c r="B2" s="116"/>
      <c r="C2" s="109"/>
      <c r="D2" s="109"/>
      <c r="E2" s="109"/>
      <c r="F2" s="107"/>
      <c r="G2" s="107"/>
      <c r="H2" s="107"/>
    </row>
    <row r="3" spans="2:8" ht="27.75" customHeight="1" x14ac:dyDescent="0.25">
      <c r="B3" s="116"/>
      <c r="C3" s="110" t="s">
        <v>177</v>
      </c>
      <c r="D3" s="110"/>
      <c r="E3" s="110"/>
      <c r="F3" s="107"/>
      <c r="G3" s="107"/>
      <c r="H3" s="107"/>
    </row>
    <row r="4" spans="2:8" ht="15" customHeight="1" x14ac:dyDescent="0.25">
      <c r="B4" s="116"/>
      <c r="C4" s="111" t="s">
        <v>145</v>
      </c>
      <c r="D4" s="111"/>
      <c r="E4" s="111"/>
      <c r="F4" s="107"/>
      <c r="G4" s="107"/>
      <c r="H4" s="107"/>
    </row>
    <row r="5" spans="2:8" ht="15" customHeight="1" x14ac:dyDescent="0.25">
      <c r="B5" s="29" t="s">
        <v>87</v>
      </c>
      <c r="C5" s="29">
        <v>2026</v>
      </c>
      <c r="D5" s="29">
        <v>2027</v>
      </c>
      <c r="E5" s="29">
        <v>2028</v>
      </c>
      <c r="F5" s="7"/>
      <c r="G5" s="7" t="s">
        <v>134</v>
      </c>
      <c r="H5" s="7" t="s">
        <v>88</v>
      </c>
    </row>
    <row r="7" spans="2:8" ht="15" customHeight="1" x14ac:dyDescent="0.25">
      <c r="B7" s="40" t="s">
        <v>25</v>
      </c>
      <c r="C7" s="41">
        <f>'Cash Flow Forecast'!C36</f>
        <v>5701.9936762099551</v>
      </c>
      <c r="D7" s="41">
        <f>'Cash Flow Forecast'!D36</f>
        <v>5494.1977220137742</v>
      </c>
      <c r="E7" s="41">
        <f>'Cash Flow Forecast'!E36</f>
        <v>5265.1656431930332</v>
      </c>
      <c r="F7" s="15"/>
      <c r="H7" s="6" t="s">
        <v>104</v>
      </c>
    </row>
    <row r="8" spans="2:8" ht="15" customHeight="1" x14ac:dyDescent="0.25">
      <c r="B8" s="21" t="s">
        <v>26</v>
      </c>
      <c r="C8" s="22">
        <f>'Income Statement Forecast'!C7*$G$8</f>
        <v>4834.7948007795158</v>
      </c>
      <c r="D8" s="22">
        <f>'Income Statement Forecast'!D7*$G$8</f>
        <v>5355.8190910542571</v>
      </c>
      <c r="E8" s="22">
        <f>'Income Statement Forecast'!E7*$G$8</f>
        <v>5934.8000069254049</v>
      </c>
      <c r="F8" s="8"/>
      <c r="G8" s="31">
        <f>AVERAGE('Balance Sheet'!F8/'Income Statement'!F7,'Balance Sheet'!G8/'Income Statement'!G7)</f>
        <v>0.18368464200237603</v>
      </c>
      <c r="H8" s="6" t="s">
        <v>90</v>
      </c>
    </row>
    <row r="9" spans="2:8" ht="15" customHeight="1" thickBot="1" x14ac:dyDescent="0.3">
      <c r="B9" s="34" t="s">
        <v>27</v>
      </c>
      <c r="C9" s="35">
        <f>C7+C8</f>
        <v>10536.78847698947</v>
      </c>
      <c r="D9" s="35">
        <f>D7+D8</f>
        <v>10850.016813068032</v>
      </c>
      <c r="E9" s="35">
        <f>E7+E8</f>
        <v>11199.965650118438</v>
      </c>
      <c r="F9" s="9"/>
    </row>
    <row r="10" spans="2:8" x14ac:dyDescent="0.25">
      <c r="B10" s="20"/>
      <c r="C10" s="20"/>
      <c r="D10" s="20"/>
      <c r="E10" s="20"/>
    </row>
    <row r="11" spans="2:8" ht="15" customHeight="1" x14ac:dyDescent="0.25">
      <c r="B11" s="21" t="s">
        <v>28</v>
      </c>
      <c r="C11" s="22">
        <f>'Balance Sheet'!G11-'Cash Flow Forecast'!C22-'Cash Flow Forecast'!C9</f>
        <v>1403.2209114749289</v>
      </c>
      <c r="D11" s="22">
        <f>C11-'Cash Flow Forecast'!D22-'Cash Flow Forecast'!D9</f>
        <v>752.86334036632002</v>
      </c>
      <c r="E11" s="22">
        <f>D11-'Cash Flow Forecast'!E22-'Cash Flow Forecast'!E9</f>
        <v>-187.75840828620926</v>
      </c>
      <c r="F11" s="8"/>
      <c r="H11" s="6" t="s">
        <v>105</v>
      </c>
    </row>
    <row r="12" spans="2:8" ht="15" customHeight="1" x14ac:dyDescent="0.25">
      <c r="B12" s="21" t="s">
        <v>29</v>
      </c>
      <c r="C12" s="22">
        <f>'Balance Sheet'!$G$12</f>
        <v>12857</v>
      </c>
      <c r="D12" s="22">
        <f>'Balance Sheet'!$G$12</f>
        <v>12857</v>
      </c>
      <c r="E12" s="22">
        <f>'Balance Sheet'!$G$12</f>
        <v>12857</v>
      </c>
      <c r="F12" s="8"/>
      <c r="H12" s="6" t="s">
        <v>106</v>
      </c>
    </row>
    <row r="13" spans="2:8" ht="15" customHeight="1" x14ac:dyDescent="0.25">
      <c r="B13" s="21" t="s">
        <v>30</v>
      </c>
      <c r="C13" s="22">
        <f>'Balance Sheet'!G13+$G$13</f>
        <v>198.5</v>
      </c>
      <c r="D13" s="22">
        <f>MAX(0,C13+$G$13)</f>
        <v>0</v>
      </c>
      <c r="E13" s="22">
        <f>MAX(0,D13+$G$13)</f>
        <v>0</v>
      </c>
      <c r="F13" s="8"/>
      <c r="G13" s="32">
        <f>AVERAGE('Balance Sheet'!G13-'Balance Sheet'!F13,'Balance Sheet'!F13-'Balance Sheet'!E13)</f>
        <v>-296.5</v>
      </c>
      <c r="H13" s="6" t="s">
        <v>107</v>
      </c>
    </row>
    <row r="14" spans="2:8" ht="15" customHeight="1" x14ac:dyDescent="0.25">
      <c r="B14" s="21" t="s">
        <v>31</v>
      </c>
      <c r="C14" s="22">
        <f>'Income Statement Forecast'!C7*$G$14</f>
        <v>4411.5729423227231</v>
      </c>
      <c r="D14" s="22">
        <f>'Income Statement Forecast'!D7*$G$14</f>
        <v>4886.988498924703</v>
      </c>
      <c r="E14" s="22">
        <f>'Income Statement Forecast'!E7*$G$14</f>
        <v>5415.2873508566545</v>
      </c>
      <c r="F14" s="8"/>
      <c r="G14" s="31">
        <f>AVERAGE('Balance Sheet'!F14/'Income Statement'!F7,'Balance Sheet'!G14/'Income Statement'!G7)</f>
        <v>0.16760549929590951</v>
      </c>
      <c r="H14" s="6" t="s">
        <v>90</v>
      </c>
    </row>
    <row r="15" spans="2:8" ht="15" customHeight="1" thickBot="1" x14ac:dyDescent="0.3">
      <c r="B15" s="34" t="s">
        <v>32</v>
      </c>
      <c r="C15" s="35">
        <f>SUM(C11:C14)</f>
        <v>18870.293853797652</v>
      </c>
      <c r="D15" s="35">
        <f>SUM(D11:D14)</f>
        <v>18496.851839291023</v>
      </c>
      <c r="E15" s="35">
        <f>SUM(E11:E14)</f>
        <v>18084.528942570447</v>
      </c>
      <c r="F15" s="9"/>
    </row>
    <row r="16" spans="2:8" x14ac:dyDescent="0.25">
      <c r="B16" s="20"/>
      <c r="C16" s="20"/>
      <c r="D16" s="20"/>
      <c r="E16" s="20"/>
    </row>
    <row r="17" spans="2:8" ht="15" customHeight="1" thickBot="1" x14ac:dyDescent="0.3">
      <c r="B17" s="34" t="s">
        <v>33</v>
      </c>
      <c r="C17" s="35">
        <f>C9+C15</f>
        <v>29407.082330787121</v>
      </c>
      <c r="D17" s="35">
        <f>D9+D15</f>
        <v>29346.868652359055</v>
      </c>
      <c r="E17" s="35">
        <f>E9+E15</f>
        <v>29284.494592688883</v>
      </c>
      <c r="F17" s="9"/>
    </row>
    <row r="18" spans="2:8" x14ac:dyDescent="0.25">
      <c r="B18" s="20"/>
      <c r="C18" s="20"/>
      <c r="D18" s="20"/>
      <c r="E18" s="20"/>
    </row>
    <row r="19" spans="2:8" ht="15" customHeight="1" x14ac:dyDescent="0.25">
      <c r="B19" s="21" t="s">
        <v>34</v>
      </c>
      <c r="C19" s="22">
        <f>'Income Statement Forecast'!C7*$G$19</f>
        <v>451.81149290268218</v>
      </c>
      <c r="D19" s="22">
        <f>'Income Statement Forecast'!D7*$G$19</f>
        <v>500.50120407504403</v>
      </c>
      <c r="E19" s="22">
        <f>'Income Statement Forecast'!E7*$G$19</f>
        <v>554.6069609356515</v>
      </c>
      <c r="F19" s="8"/>
      <c r="G19" s="31">
        <f>AVERAGE('Balance Sheet'!F19/'Income Statement'!F7,'Balance Sheet'!G19/'Income Statement'!G7)</f>
        <v>1.7165326709006883E-2</v>
      </c>
      <c r="H19" s="6" t="s">
        <v>90</v>
      </c>
    </row>
    <row r="20" spans="2:8" ht="15" customHeight="1" x14ac:dyDescent="0.25">
      <c r="B20" s="21" t="s">
        <v>35</v>
      </c>
      <c r="C20" s="22">
        <f>'Balance Sheet'!$G$20</f>
        <v>0</v>
      </c>
      <c r="D20" s="22">
        <f>'Balance Sheet'!$G$20</f>
        <v>0</v>
      </c>
      <c r="E20" s="22">
        <f>'Balance Sheet'!$G$20</f>
        <v>0</v>
      </c>
      <c r="F20" s="8"/>
      <c r="H20" s="6" t="s">
        <v>108</v>
      </c>
    </row>
    <row r="21" spans="2:8" ht="15" customHeight="1" x14ac:dyDescent="0.25">
      <c r="B21" s="21" t="s">
        <v>36</v>
      </c>
      <c r="C21" s="22">
        <f>'Income Statement Forecast'!C7*$G$21</f>
        <v>10717.06033032748</v>
      </c>
      <c r="D21" s="22">
        <f>'Income Statement Forecast'!D7*$G$21</f>
        <v>11871.990163448872</v>
      </c>
      <c r="E21" s="22">
        <f>'Income Statement Forecast'!E7*$G$21</f>
        <v>13155.389699764026</v>
      </c>
      <c r="F21" s="8"/>
      <c r="G21" s="31">
        <f>AVERAGE('Balance Sheet'!F21/'Income Statement'!F7,'Balance Sheet'!G21/'Income Statement'!G7)</f>
        <v>0.40716503413478422</v>
      </c>
      <c r="H21" s="6" t="s">
        <v>90</v>
      </c>
    </row>
    <row r="22" spans="2:8" ht="15" customHeight="1" thickBot="1" x14ac:dyDescent="0.3">
      <c r="B22" s="34" t="s">
        <v>37</v>
      </c>
      <c r="C22" s="35">
        <f>SUM(C19:C21)</f>
        <v>11168.871823230162</v>
      </c>
      <c r="D22" s="35">
        <f>SUM(D19:D21)</f>
        <v>12372.491367523917</v>
      </c>
      <c r="E22" s="35">
        <f>SUM(E19:E21)</f>
        <v>13709.996660699677</v>
      </c>
      <c r="F22" s="9"/>
    </row>
    <row r="23" spans="2:8" x14ac:dyDescent="0.25">
      <c r="B23" s="20"/>
      <c r="C23" s="20"/>
      <c r="D23" s="20"/>
      <c r="E23" s="20"/>
    </row>
    <row r="24" spans="2:8" ht="15" customHeight="1" x14ac:dyDescent="0.25">
      <c r="B24" s="21" t="s">
        <v>38</v>
      </c>
      <c r="C24" s="22">
        <f>'Balance Sheet'!$G$24</f>
        <v>6210</v>
      </c>
      <c r="D24" s="22">
        <f>'Balance Sheet'!$G$24</f>
        <v>6210</v>
      </c>
      <c r="E24" s="22">
        <f>'Balance Sheet'!$G$24</f>
        <v>6210</v>
      </c>
      <c r="F24" s="8"/>
      <c r="H24" s="6" t="s">
        <v>108</v>
      </c>
    </row>
    <row r="25" spans="2:8" ht="15" customHeight="1" x14ac:dyDescent="0.25">
      <c r="B25" s="21" t="s">
        <v>39</v>
      </c>
      <c r="C25" s="22">
        <f>'Income Statement Forecast'!C7*$G$25</f>
        <v>595.04308694259726</v>
      </c>
      <c r="D25" s="22">
        <f>'Income Statement Forecast'!D7*$G$25</f>
        <v>659.16822871845329</v>
      </c>
      <c r="E25" s="22">
        <f>'Income Statement Forecast'!E7*$G$25</f>
        <v>730.42639078259572</v>
      </c>
      <c r="F25" s="8"/>
      <c r="G25" s="31">
        <f>AVERAGE('Balance Sheet'!F25/'Income Statement'!F7,'Balance Sheet'!G25/'Income Statement'!G7)</f>
        <v>2.2607014548666503E-2</v>
      </c>
      <c r="H25" s="6" t="s">
        <v>90</v>
      </c>
    </row>
    <row r="26" spans="2:8" ht="15" customHeight="1" x14ac:dyDescent="0.25">
      <c r="B26" s="21" t="s">
        <v>40</v>
      </c>
      <c r="C26" s="22">
        <f>'Income Statement Forecast'!C7*$G$26</f>
        <v>1117.6683739868681</v>
      </c>
      <c r="D26" s="22">
        <f>'Income Statement Forecast'!D7*$G$26</f>
        <v>1238.1145139606149</v>
      </c>
      <c r="E26" s="22">
        <f>'Income Statement Forecast'!E7*$G$26</f>
        <v>1371.9585932805478</v>
      </c>
      <c r="F26" s="8"/>
      <c r="G26" s="31">
        <f>AVERAGE('Balance Sheet'!F26/'Income Statement'!F7,'Balance Sheet'!G26/'Income Statement'!G7)</f>
        <v>4.2462715298704143E-2</v>
      </c>
      <c r="H26" s="6" t="s">
        <v>90</v>
      </c>
    </row>
    <row r="27" spans="2:8" ht="15" customHeight="1" thickBot="1" x14ac:dyDescent="0.3">
      <c r="B27" s="34" t="s">
        <v>41</v>
      </c>
      <c r="C27" s="35">
        <f>SUM(C23:C26)</f>
        <v>7922.7114609294658</v>
      </c>
      <c r="D27" s="35">
        <f>SUM(D23:D26)</f>
        <v>8107.2827426790682</v>
      </c>
      <c r="E27" s="35">
        <f>SUM(E23:E26)</f>
        <v>8312.3849840631428</v>
      </c>
      <c r="F27" s="9"/>
    </row>
    <row r="28" spans="2:8" x14ac:dyDescent="0.25">
      <c r="B28" s="20"/>
      <c r="C28" s="20"/>
      <c r="D28" s="20"/>
      <c r="E28" s="20"/>
    </row>
    <row r="29" spans="2:8" ht="15" customHeight="1" thickBot="1" x14ac:dyDescent="0.3">
      <c r="B29" s="34" t="s">
        <v>42</v>
      </c>
      <c r="C29" s="35">
        <f>C22+C27</f>
        <v>19091.583284159628</v>
      </c>
      <c r="D29" s="35">
        <f>D22+D27</f>
        <v>20479.774110202983</v>
      </c>
      <c r="E29" s="35">
        <f>E22+E27</f>
        <v>22022.38164476282</v>
      </c>
      <c r="F29" s="9"/>
    </row>
    <row r="30" spans="2:8" x14ac:dyDescent="0.25">
      <c r="B30" s="20"/>
      <c r="C30" s="20"/>
      <c r="D30" s="20"/>
      <c r="E30" s="20"/>
    </row>
    <row r="31" spans="2:8" ht="15" customHeight="1" thickBot="1" x14ac:dyDescent="0.3">
      <c r="B31" s="36" t="s">
        <v>43</v>
      </c>
      <c r="C31" s="37">
        <f>'Balance Sheet'!G31+'Income Statement Forecast'!C25+'Cash Flow Forecast'!C11+'Cash Flow Forecast'!C27+'Cash Flow Forecast'!C29</f>
        <v>10315.499046627498</v>
      </c>
      <c r="D31" s="37">
        <f>C31+'Income Statement Forecast'!D25+'Cash Flow Forecast'!D11+'Cash Flow Forecast'!D27+'Cash Flow Forecast'!D29</f>
        <v>8867.0945421560718</v>
      </c>
      <c r="E31" s="37">
        <f>D31+'Income Statement Forecast'!E25+'Cash Flow Forecast'!E11+'Cash Flow Forecast'!E27+'Cash Flow Forecast'!E29</f>
        <v>7262.1129479260599</v>
      </c>
      <c r="F31" s="8"/>
      <c r="H31" s="6" t="s">
        <v>109</v>
      </c>
    </row>
    <row r="32" spans="2:8" x14ac:dyDescent="0.25">
      <c r="B32" s="20"/>
      <c r="C32" s="20"/>
      <c r="D32" s="20"/>
      <c r="E32" s="20"/>
    </row>
    <row r="33" spans="2:8" ht="15" customHeight="1" thickBot="1" x14ac:dyDescent="0.3">
      <c r="B33" s="34" t="s">
        <v>110</v>
      </c>
      <c r="C33" s="35">
        <f>C29+C31</f>
        <v>29407.082330787125</v>
      </c>
      <c r="D33" s="35">
        <f>D29+D31</f>
        <v>29346.868652359055</v>
      </c>
      <c r="E33" s="35">
        <f>E29+E31</f>
        <v>29284.494592688879</v>
      </c>
      <c r="F33" s="9"/>
    </row>
    <row r="34" spans="2:8" x14ac:dyDescent="0.25">
      <c r="B34" s="20"/>
      <c r="C34" s="20"/>
      <c r="D34" s="20"/>
      <c r="E34" s="20"/>
    </row>
    <row r="35" spans="2:8" ht="15" customHeight="1" x14ac:dyDescent="0.25">
      <c r="B35" s="38" t="s">
        <v>111</v>
      </c>
      <c r="C35" s="39">
        <f>C17-C33</f>
        <v>0</v>
      </c>
      <c r="D35" s="39">
        <f>D17-D33</f>
        <v>0</v>
      </c>
      <c r="E35" s="39">
        <f>E17-E33</f>
        <v>0</v>
      </c>
      <c r="F35" s="16"/>
      <c r="H35" s="6" t="s">
        <v>112</v>
      </c>
    </row>
    <row r="37" spans="2:8" ht="15" customHeight="1" x14ac:dyDescent="0.25">
      <c r="B37" s="13" t="s">
        <v>95</v>
      </c>
    </row>
    <row r="38" spans="2:8" ht="54.75" customHeight="1" x14ac:dyDescent="0.25">
      <c r="B38" s="114" t="s">
        <v>113</v>
      </c>
      <c r="C38" s="114"/>
      <c r="D38" s="114"/>
      <c r="E38" s="114"/>
      <c r="F38" s="114"/>
      <c r="G38" s="114"/>
      <c r="H38" s="114"/>
    </row>
  </sheetData>
  <mergeCells count="6">
    <mergeCell ref="C1:E2"/>
    <mergeCell ref="B38:H38"/>
    <mergeCell ref="C3:E3"/>
    <mergeCell ref="C4:E4"/>
    <mergeCell ref="B1:B4"/>
    <mergeCell ref="F1:H4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BF8F00"/>
  </sheetPr>
  <dimension ref="B1:G39"/>
  <sheetViews>
    <sheetView zoomScaleNormal="100" workbookViewId="0">
      <selection activeCell="B29" sqref="B29"/>
    </sheetView>
  </sheetViews>
  <sheetFormatPr defaultColWidth="8.7109375" defaultRowHeight="15" x14ac:dyDescent="0.25"/>
  <cols>
    <col min="1" max="1" width="2" customWidth="1"/>
    <col min="2" max="2" width="54" bestFit="1" customWidth="1"/>
    <col min="3" max="5" width="18.28515625" customWidth="1"/>
    <col min="6" max="6" width="11.5703125" bestFit="1" customWidth="1"/>
    <col min="7" max="7" width="110.28515625" bestFit="1" customWidth="1"/>
  </cols>
  <sheetData>
    <row r="1" spans="2:7" ht="17.25" customHeight="1" x14ac:dyDescent="0.25">
      <c r="B1" s="116"/>
      <c r="C1" s="109" t="s">
        <v>0</v>
      </c>
      <c r="D1" s="109"/>
      <c r="E1" s="109"/>
      <c r="F1" s="107"/>
      <c r="G1" s="107"/>
    </row>
    <row r="2" spans="2:7" x14ac:dyDescent="0.25">
      <c r="B2" s="116"/>
      <c r="C2" s="109"/>
      <c r="D2" s="109"/>
      <c r="E2" s="109"/>
      <c r="F2" s="107"/>
      <c r="G2" s="107"/>
    </row>
    <row r="3" spans="2:7" ht="24.75" customHeight="1" x14ac:dyDescent="0.25">
      <c r="B3" s="116"/>
      <c r="C3" s="110" t="s">
        <v>176</v>
      </c>
      <c r="D3" s="110"/>
      <c r="E3" s="110"/>
      <c r="F3" s="107"/>
      <c r="G3" s="107"/>
    </row>
    <row r="4" spans="2:7" ht="15" customHeight="1" x14ac:dyDescent="0.25">
      <c r="B4" s="116"/>
      <c r="C4" s="111" t="s">
        <v>145</v>
      </c>
      <c r="D4" s="111"/>
      <c r="E4" s="111"/>
      <c r="F4" s="107"/>
      <c r="G4" s="107"/>
    </row>
    <row r="5" spans="2:7" ht="15" customHeight="1" x14ac:dyDescent="0.25">
      <c r="B5" s="33" t="s">
        <v>87</v>
      </c>
      <c r="C5" s="29">
        <v>2026</v>
      </c>
      <c r="D5" s="29">
        <v>2027</v>
      </c>
      <c r="E5" s="29">
        <v>2028</v>
      </c>
      <c r="F5" s="7" t="s">
        <v>134</v>
      </c>
      <c r="G5" s="7" t="s">
        <v>88</v>
      </c>
    </row>
    <row r="7" spans="2:7" ht="15" customHeight="1" x14ac:dyDescent="0.25">
      <c r="B7" s="42" t="s">
        <v>45</v>
      </c>
      <c r="C7" s="20"/>
      <c r="D7" s="20"/>
      <c r="E7" s="20"/>
    </row>
    <row r="8" spans="2:7" ht="15" customHeight="1" x14ac:dyDescent="0.25">
      <c r="B8" s="21" t="s">
        <v>18</v>
      </c>
      <c r="C8" s="22">
        <f>'Income Statement Forecast'!C25</f>
        <v>7346.1786939515496</v>
      </c>
      <c r="D8" s="22">
        <f>'Income Statement Forecast'!D25</f>
        <v>8137.8436348566793</v>
      </c>
      <c r="E8" s="22">
        <f>'Income Statement Forecast'!E25</f>
        <v>9017.570167964439</v>
      </c>
    </row>
    <row r="9" spans="2:7" ht="15" customHeight="1" x14ac:dyDescent="0.25">
      <c r="B9" s="21" t="s">
        <v>114</v>
      </c>
      <c r="C9" s="22">
        <f>'Income Statement Forecast'!C7*$F$9-C10</f>
        <v>680.88101453017589</v>
      </c>
      <c r="D9" s="22">
        <f>'Income Statement Forecast'!D7*$F$9-D10</f>
        <v>884.20901094100327</v>
      </c>
      <c r="E9" s="22">
        <f>'Income Statement Forecast'!E7*$F$9-E10</f>
        <v>1199.7532658195175</v>
      </c>
      <c r="F9" s="31">
        <f>AVERAGE(Cashflow!F9/'Income Statement'!F7,Cashflow!G9/'Income Statement'!G7)</f>
        <v>3.7132885500114454E-2</v>
      </c>
      <c r="G9" s="6" t="s">
        <v>115</v>
      </c>
    </row>
    <row r="10" spans="2:7" ht="15" customHeight="1" x14ac:dyDescent="0.25">
      <c r="B10" s="21" t="s">
        <v>116</v>
      </c>
      <c r="C10" s="22">
        <f>'Balance Sheet'!$G$13-'Balance Sheet Forecast'!C13</f>
        <v>296.5</v>
      </c>
      <c r="D10" s="22">
        <f>'Balance Sheet Forecast'!C13-'Balance Sheet Forecast'!D13</f>
        <v>198.5</v>
      </c>
      <c r="E10" s="22">
        <f>'Balance Sheet Forecast'!D13-'Balance Sheet Forecast'!E13</f>
        <v>0</v>
      </c>
      <c r="G10" s="6" t="s">
        <v>117</v>
      </c>
    </row>
    <row r="11" spans="2:7" ht="15" customHeight="1" x14ac:dyDescent="0.25">
      <c r="B11" s="21" t="s">
        <v>48</v>
      </c>
      <c r="C11" s="22">
        <f>'Income Statement Forecast'!C7*$F$11</f>
        <v>2197.0156114513684</v>
      </c>
      <c r="D11" s="22">
        <f>'Income Statement Forecast'!D7*$F$11</f>
        <v>2433.7781932871926</v>
      </c>
      <c r="E11" s="22">
        <f>'Income Statement Forecast'!E7*$F$11</f>
        <v>2696.8772829727018</v>
      </c>
      <c r="F11" s="31">
        <f>AVERAGE(Cashflow!F10/'Income Statement'!F7,Cashflow!G10/'Income Statement'!G7)</f>
        <v>8.3469525117800258E-2</v>
      </c>
      <c r="G11" s="6" t="s">
        <v>90</v>
      </c>
    </row>
    <row r="12" spans="2:7" ht="15" customHeight="1" x14ac:dyDescent="0.25">
      <c r="B12" s="21" t="s">
        <v>49</v>
      </c>
      <c r="C12" s="43">
        <v>0</v>
      </c>
      <c r="D12" s="43">
        <v>0</v>
      </c>
      <c r="E12" s="43">
        <v>0</v>
      </c>
      <c r="G12" s="6" t="s">
        <v>118</v>
      </c>
    </row>
    <row r="13" spans="2:7" ht="15" customHeight="1" x14ac:dyDescent="0.25">
      <c r="B13" s="21" t="s">
        <v>119</v>
      </c>
      <c r="C13" s="22">
        <f>-('Balance Sheet Forecast'!C8-'Balance Sheet'!G8)</f>
        <v>-102.79480077951575</v>
      </c>
      <c r="D13" s="22">
        <f>-('Balance Sheet Forecast'!D8-'Balance Sheet Forecast'!C8)</f>
        <v>-521.02429027474136</v>
      </c>
      <c r="E13" s="22">
        <f>-('Balance Sheet Forecast'!E8-'Balance Sheet Forecast'!D8)</f>
        <v>-578.98091587114777</v>
      </c>
      <c r="G13" s="6" t="s">
        <v>120</v>
      </c>
    </row>
    <row r="14" spans="2:7" ht="15" customHeight="1" x14ac:dyDescent="0.25">
      <c r="B14" s="21" t="s">
        <v>121</v>
      </c>
      <c r="C14" s="22">
        <f>'Balance Sheet Forecast'!C19-'Balance Sheet'!G19</f>
        <v>34.811492902682176</v>
      </c>
      <c r="D14" s="22">
        <f>'Balance Sheet Forecast'!D19-'Balance Sheet Forecast'!C19</f>
        <v>48.689711172361854</v>
      </c>
      <c r="E14" s="22">
        <f>'Balance Sheet Forecast'!E19-'Balance Sheet Forecast'!D19</f>
        <v>54.105756860607471</v>
      </c>
      <c r="G14" s="6" t="s">
        <v>122</v>
      </c>
    </row>
    <row r="15" spans="2:7" ht="15" customHeight="1" x14ac:dyDescent="0.25">
      <c r="B15" s="21" t="s">
        <v>123</v>
      </c>
      <c r="C15" s="22">
        <f>'Balance Sheet Forecast'!C21-'Balance Sheet'!G21</f>
        <v>934.06033032748019</v>
      </c>
      <c r="D15" s="22">
        <f>'Balance Sheet Forecast'!D21-'Balance Sheet Forecast'!C21</f>
        <v>1154.9298331213922</v>
      </c>
      <c r="E15" s="22">
        <f>'Balance Sheet Forecast'!E21-'Balance Sheet Forecast'!D21</f>
        <v>1283.3995363151535</v>
      </c>
      <c r="G15" s="6" t="s">
        <v>122</v>
      </c>
    </row>
    <row r="16" spans="2:7" ht="15" customHeight="1" x14ac:dyDescent="0.25">
      <c r="B16" s="21" t="s">
        <v>124</v>
      </c>
      <c r="C16" s="22">
        <f>'Balance Sheet Forecast'!C25-'Balance Sheet'!G25</f>
        <v>126.04308694259726</v>
      </c>
      <c r="D16" s="22">
        <f>'Balance Sheet Forecast'!D25-'Balance Sheet Forecast'!C25</f>
        <v>64.125141775856036</v>
      </c>
      <c r="E16" s="22">
        <f>'Balance Sheet Forecast'!E25-'Balance Sheet Forecast'!D25</f>
        <v>71.258162064142425</v>
      </c>
      <c r="G16" s="6" t="s">
        <v>122</v>
      </c>
    </row>
    <row r="17" spans="2:7" ht="15" customHeight="1" x14ac:dyDescent="0.25">
      <c r="B17" s="21" t="s">
        <v>125</v>
      </c>
      <c r="C17" s="22">
        <f>-('Balance Sheet Forecast'!C14-'Balance Sheet'!G14)</f>
        <v>-303.57294232272307</v>
      </c>
      <c r="D17" s="22">
        <f>-('Balance Sheet Forecast'!D14-'Balance Sheet Forecast'!C14)</f>
        <v>-475.41555660197992</v>
      </c>
      <c r="E17" s="22">
        <f>-('Balance Sheet Forecast'!E14-'Balance Sheet Forecast'!D14)</f>
        <v>-528.2988519319515</v>
      </c>
      <c r="G17" s="6" t="s">
        <v>126</v>
      </c>
    </row>
    <row r="18" spans="2:7" ht="15" customHeight="1" x14ac:dyDescent="0.25">
      <c r="B18" s="21" t="s">
        <v>127</v>
      </c>
      <c r="C18" s="22">
        <f>'Balance Sheet Forecast'!C26-'Balance Sheet'!G26</f>
        <v>123.66837398686812</v>
      </c>
      <c r="D18" s="22">
        <f>'Balance Sheet Forecast'!D26-'Balance Sheet Forecast'!C26</f>
        <v>120.44613997374677</v>
      </c>
      <c r="E18" s="22">
        <f>'Balance Sheet Forecast'!E26-'Balance Sheet Forecast'!D26</f>
        <v>133.84407931993292</v>
      </c>
      <c r="G18" s="6" t="s">
        <v>122</v>
      </c>
    </row>
    <row r="19" spans="2:7" ht="15" customHeight="1" thickBot="1" x14ac:dyDescent="0.3">
      <c r="B19" s="34" t="s">
        <v>50</v>
      </c>
      <c r="C19" s="35">
        <f>SUM(C8:C18)</f>
        <v>11332.790860990481</v>
      </c>
      <c r="D19" s="35">
        <f>SUM(D8:D18)</f>
        <v>12046.08181825151</v>
      </c>
      <c r="E19" s="35">
        <f>SUM(E8:E18)</f>
        <v>13349.528483513399</v>
      </c>
    </row>
    <row r="20" spans="2:7" x14ac:dyDescent="0.25">
      <c r="B20" s="20"/>
      <c r="C20" s="20"/>
      <c r="D20" s="20"/>
      <c r="E20" s="20"/>
    </row>
    <row r="21" spans="2:7" ht="15" customHeight="1" x14ac:dyDescent="0.25">
      <c r="B21" s="42" t="s">
        <v>51</v>
      </c>
      <c r="C21" s="20"/>
      <c r="D21" s="20"/>
      <c r="E21" s="20"/>
    </row>
    <row r="22" spans="2:7" ht="15" customHeight="1" x14ac:dyDescent="0.25">
      <c r="B22" s="21" t="s">
        <v>52</v>
      </c>
      <c r="C22" s="22">
        <f>'Income Statement Forecast'!C7*$F$22</f>
        <v>-211.10192600510484</v>
      </c>
      <c r="D22" s="22">
        <f>'Income Statement Forecast'!D7*$F$22</f>
        <v>-233.85143983239431</v>
      </c>
      <c r="E22" s="22">
        <f>'Income Statement Forecast'!E7*$F$22</f>
        <v>-259.13151716698826</v>
      </c>
      <c r="F22" s="31">
        <f>AVERAGE(Cashflow!F15/'Income Statement'!F7,Cashflow!G15/'Income Statement'!G7)</f>
        <v>-8.0202331850790978E-3</v>
      </c>
      <c r="G22" s="6" t="s">
        <v>128</v>
      </c>
    </row>
    <row r="23" spans="2:7" ht="15" customHeight="1" x14ac:dyDescent="0.25">
      <c r="B23" s="21" t="s">
        <v>53</v>
      </c>
      <c r="C23" s="43">
        <v>0</v>
      </c>
      <c r="D23" s="43">
        <v>0</v>
      </c>
      <c r="E23" s="43">
        <v>0</v>
      </c>
      <c r="G23" s="6" t="s">
        <v>118</v>
      </c>
    </row>
    <row r="24" spans="2:7" ht="15" customHeight="1" thickBot="1" x14ac:dyDescent="0.3">
      <c r="B24" s="34" t="s">
        <v>54</v>
      </c>
      <c r="C24" s="35">
        <f>SUM(C22:C23)</f>
        <v>-211.10192600510484</v>
      </c>
      <c r="D24" s="35">
        <f>SUM(D22:D23)</f>
        <v>-233.85143983239431</v>
      </c>
      <c r="E24" s="35">
        <f>SUM(E22:E23)</f>
        <v>-259.13151716698826</v>
      </c>
    </row>
    <row r="25" spans="2:7" x14ac:dyDescent="0.25">
      <c r="B25" s="20"/>
      <c r="C25" s="20"/>
      <c r="D25" s="20"/>
      <c r="E25" s="20"/>
    </row>
    <row r="26" spans="2:7" ht="15" customHeight="1" x14ac:dyDescent="0.25">
      <c r="B26" s="42" t="s">
        <v>55</v>
      </c>
      <c r="C26" s="20"/>
      <c r="D26" s="20"/>
      <c r="E26" s="20"/>
    </row>
    <row r="27" spans="2:7" ht="15" customHeight="1" x14ac:dyDescent="0.25">
      <c r="B27" s="21" t="s">
        <v>56</v>
      </c>
      <c r="C27" s="22">
        <f>'Income Statement Forecast'!C7*$F$27</f>
        <v>-12059.932873647833</v>
      </c>
      <c r="D27" s="22">
        <f>'Income Statement Forecast'!D7*$F$27</f>
        <v>-13359.578096489615</v>
      </c>
      <c r="E27" s="22">
        <f>'Income Statement Forecast'!E7*$F$27</f>
        <v>-14803.790574628996</v>
      </c>
      <c r="F27" s="31">
        <f>AVERAGE(Cashflow!F20/'Income Statement'!F7,Cashflow!G20/'Income Statement'!G7)</f>
        <v>-0.4581837583079072</v>
      </c>
      <c r="G27" s="6" t="s">
        <v>128</v>
      </c>
    </row>
    <row r="28" spans="2:7" ht="15" customHeight="1" x14ac:dyDescent="0.25">
      <c r="B28" s="21" t="s">
        <v>129</v>
      </c>
      <c r="C28" s="22">
        <f>('Balance Sheet Forecast'!C20-'Balance Sheet'!G20)+('Balance Sheet Forecast'!C24-'Balance Sheet'!G24)</f>
        <v>0</v>
      </c>
      <c r="D28" s="22">
        <f>('Balance Sheet Forecast'!D20-'Balance Sheet Forecast'!C20)+('Balance Sheet Forecast'!D24-'Balance Sheet Forecast'!C24)</f>
        <v>0</v>
      </c>
      <c r="E28" s="22">
        <f>('Balance Sheet Forecast'!E20-'Balance Sheet Forecast'!D20)+('Balance Sheet Forecast'!E24-'Balance Sheet Forecast'!D24)</f>
        <v>0</v>
      </c>
      <c r="G28" s="6" t="s">
        <v>130</v>
      </c>
    </row>
    <row r="29" spans="2:7" ht="15" customHeight="1" x14ac:dyDescent="0.25">
      <c r="B29" s="21" t="s">
        <v>57</v>
      </c>
      <c r="C29" s="22">
        <f>'Income Statement Forecast'!C7*$F$29</f>
        <v>1209.2376148724134</v>
      </c>
      <c r="D29" s="22">
        <f>'Income Statement Forecast'!D7*$F$29</f>
        <v>1339.551763874319</v>
      </c>
      <c r="E29" s="22">
        <f>'Income Statement Forecast'!E7*$F$29</f>
        <v>1484.3615294618451</v>
      </c>
      <c r="F29" s="31">
        <f>AVERAGE(Cashflow!F21/'Income Statement'!F7,Cashflow!G21/'Income Statement'!G7)</f>
        <v>4.5941635071634075E-2</v>
      </c>
      <c r="G29" s="6" t="s">
        <v>90</v>
      </c>
    </row>
    <row r="30" spans="2:7" ht="15" customHeight="1" thickBot="1" x14ac:dyDescent="0.3">
      <c r="B30" s="34" t="s">
        <v>58</v>
      </c>
      <c r="C30" s="35">
        <f>SUM(C27:C29)</f>
        <v>-10850.69525877542</v>
      </c>
      <c r="D30" s="35">
        <f>SUM(D27:D29)</f>
        <v>-12020.026332615296</v>
      </c>
      <c r="E30" s="35">
        <f>SUM(E27:E29)</f>
        <v>-13319.429045167151</v>
      </c>
    </row>
    <row r="31" spans="2:7" x14ac:dyDescent="0.25">
      <c r="B31" s="20"/>
      <c r="C31" s="20"/>
      <c r="D31" s="20"/>
      <c r="E31" s="20"/>
    </row>
    <row r="32" spans="2:7" ht="15" customHeight="1" x14ac:dyDescent="0.25">
      <c r="B32" s="42" t="s">
        <v>59</v>
      </c>
      <c r="C32" s="20"/>
      <c r="D32" s="20"/>
      <c r="E32" s="20"/>
    </row>
    <row r="33" spans="2:7" ht="15" customHeight="1" x14ac:dyDescent="0.25">
      <c r="B33" s="21" t="s">
        <v>60</v>
      </c>
      <c r="C33" s="43">
        <v>0</v>
      </c>
      <c r="D33" s="43">
        <v>0</v>
      </c>
      <c r="E33" s="43">
        <v>0</v>
      </c>
      <c r="G33" s="6" t="s">
        <v>131</v>
      </c>
    </row>
    <row r="34" spans="2:7" ht="15" customHeight="1" thickBot="1" x14ac:dyDescent="0.3">
      <c r="B34" s="34" t="s">
        <v>61</v>
      </c>
      <c r="C34" s="35">
        <f>C19+C24+C30+C33</f>
        <v>270.99367620995508</v>
      </c>
      <c r="D34" s="35">
        <f>D19+D24+D30+D33</f>
        <v>-207.7959541961809</v>
      </c>
      <c r="E34" s="35">
        <f>E19+E24+E30+E33</f>
        <v>-229.03207882074094</v>
      </c>
    </row>
    <row r="35" spans="2:7" ht="15" customHeight="1" x14ac:dyDescent="0.25">
      <c r="B35" s="21" t="s">
        <v>62</v>
      </c>
      <c r="C35" s="43">
        <v>5431</v>
      </c>
      <c r="D35" s="22">
        <f>C36</f>
        <v>5701.9936762099551</v>
      </c>
      <c r="E35" s="22">
        <f>D36</f>
        <v>5494.1977220137742</v>
      </c>
      <c r="G35" s="6" t="s">
        <v>132</v>
      </c>
    </row>
    <row r="36" spans="2:7" ht="15" customHeight="1" thickBot="1" x14ac:dyDescent="0.3">
      <c r="B36" s="44" t="s">
        <v>63</v>
      </c>
      <c r="C36" s="45">
        <f>C34+C35</f>
        <v>5701.9936762099551</v>
      </c>
      <c r="D36" s="45">
        <f>D34+D35</f>
        <v>5494.1977220137742</v>
      </c>
      <c r="E36" s="45">
        <f>E34+E35</f>
        <v>5265.1656431930332</v>
      </c>
    </row>
    <row r="38" spans="2:7" ht="15" customHeight="1" x14ac:dyDescent="0.25">
      <c r="B38" s="13" t="s">
        <v>95</v>
      </c>
    </row>
    <row r="39" spans="2:7" ht="54.75" customHeight="1" x14ac:dyDescent="0.25">
      <c r="B39" s="114" t="s">
        <v>133</v>
      </c>
      <c r="C39" s="114"/>
      <c r="D39" s="114"/>
      <c r="E39" s="114"/>
      <c r="F39" s="114"/>
      <c r="G39" s="114"/>
    </row>
  </sheetData>
  <mergeCells count="6">
    <mergeCell ref="B39:G39"/>
    <mergeCell ref="C1:E2"/>
    <mergeCell ref="C3:E3"/>
    <mergeCell ref="C4:E4"/>
    <mergeCell ref="B1:B4"/>
    <mergeCell ref="F1:G4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808080"/>
  </sheetPr>
  <dimension ref="B1:E109"/>
  <sheetViews>
    <sheetView zoomScaleNormal="100" workbookViewId="0">
      <selection activeCell="G24" sqref="G24"/>
    </sheetView>
  </sheetViews>
  <sheetFormatPr defaultColWidth="8.7109375" defaultRowHeight="15" x14ac:dyDescent="0.25"/>
  <cols>
    <col min="1" max="1" width="2.28515625" customWidth="1"/>
    <col min="2" max="2" width="20.85546875" customWidth="1"/>
    <col min="3" max="3" width="26.28515625" customWidth="1"/>
    <col min="5" max="5" width="12" bestFit="1" customWidth="1"/>
  </cols>
  <sheetData>
    <row r="1" spans="2:5" x14ac:dyDescent="0.25">
      <c r="B1" s="29" t="s">
        <v>136</v>
      </c>
      <c r="C1" s="29" t="s">
        <v>137</v>
      </c>
      <c r="D1" s="29" t="s">
        <v>138</v>
      </c>
      <c r="E1" s="29" t="s">
        <v>135</v>
      </c>
    </row>
    <row r="2" spans="2:5" x14ac:dyDescent="0.25">
      <c r="B2" s="79" t="s">
        <v>139</v>
      </c>
      <c r="C2" s="79" t="s">
        <v>65</v>
      </c>
      <c r="D2" s="79">
        <v>2021</v>
      </c>
      <c r="E2" s="80" t="str">
        <f>'Financial Ratios'!D7</f>
        <v>-</v>
      </c>
    </row>
    <row r="3" spans="2:5" x14ac:dyDescent="0.25">
      <c r="B3" s="79" t="s">
        <v>139</v>
      </c>
      <c r="C3" s="79" t="s">
        <v>65</v>
      </c>
      <c r="D3" s="79">
        <v>2022</v>
      </c>
      <c r="E3" s="81">
        <f>'Financial Ratios'!E7</f>
        <v>0.11536268609439342</v>
      </c>
    </row>
    <row r="4" spans="2:5" ht="15" customHeight="1" x14ac:dyDescent="0.25">
      <c r="B4" s="79" t="s">
        <v>139</v>
      </c>
      <c r="C4" s="79" t="s">
        <v>65</v>
      </c>
      <c r="D4" s="79">
        <v>2023</v>
      </c>
      <c r="E4" s="81">
        <f>'Financial Ratios'!F7</f>
        <v>0.10240826990798592</v>
      </c>
    </row>
    <row r="5" spans="2:5" ht="15" customHeight="1" x14ac:dyDescent="0.25">
      <c r="B5" s="79" t="s">
        <v>139</v>
      </c>
      <c r="C5" s="79" t="s">
        <v>65</v>
      </c>
      <c r="D5" s="79">
        <v>2024</v>
      </c>
      <c r="E5" s="81">
        <f>'Financial Ratios'!G7</f>
        <v>0.10799113813179453</v>
      </c>
    </row>
    <row r="6" spans="2:5" ht="15" customHeight="1" x14ac:dyDescent="0.25">
      <c r="B6" s="79" t="s">
        <v>139</v>
      </c>
      <c r="C6" s="79" t="s">
        <v>65</v>
      </c>
      <c r="D6" s="79">
        <v>2025</v>
      </c>
      <c r="E6" s="81">
        <f>'Financial Ratios'!H7</f>
        <v>0.10527784236224134</v>
      </c>
    </row>
    <row r="7" spans="2:5" ht="15" customHeight="1" x14ac:dyDescent="0.25">
      <c r="B7" s="79" t="s">
        <v>139</v>
      </c>
      <c r="C7" s="79" t="s">
        <v>66</v>
      </c>
      <c r="D7" s="79">
        <v>2021</v>
      </c>
      <c r="E7" s="81">
        <f>'Financial Ratios'!D8</f>
        <v>0.88184985745961353</v>
      </c>
    </row>
    <row r="8" spans="2:5" ht="15" customHeight="1" x14ac:dyDescent="0.25">
      <c r="B8" s="79" t="s">
        <v>139</v>
      </c>
      <c r="C8" s="79" t="s">
        <v>66</v>
      </c>
      <c r="D8" s="79">
        <v>2022</v>
      </c>
      <c r="E8" s="81">
        <f>'Financial Ratios'!E8</f>
        <v>0.87703055776439853</v>
      </c>
    </row>
    <row r="9" spans="2:5" ht="15" customHeight="1" x14ac:dyDescent="0.25">
      <c r="B9" s="79" t="s">
        <v>139</v>
      </c>
      <c r="C9" s="79" t="s">
        <v>66</v>
      </c>
      <c r="D9" s="79">
        <v>2023</v>
      </c>
      <c r="E9" s="81">
        <f>'Financial Ratios'!F8</f>
        <v>0.87871605955999799</v>
      </c>
    </row>
    <row r="10" spans="2:5" ht="15" customHeight="1" x14ac:dyDescent="0.25">
      <c r="B10" s="79" t="s">
        <v>139</v>
      </c>
      <c r="C10" s="79" t="s">
        <v>66</v>
      </c>
      <c r="D10" s="79">
        <v>2024</v>
      </c>
      <c r="E10" s="81">
        <f>'Financial Ratios'!G8</f>
        <v>0.89035108114392003</v>
      </c>
    </row>
    <row r="11" spans="2:5" ht="15" customHeight="1" x14ac:dyDescent="0.25">
      <c r="B11" s="79" t="s">
        <v>139</v>
      </c>
      <c r="C11" s="79" t="s">
        <v>66</v>
      </c>
      <c r="D11" s="79">
        <v>2025</v>
      </c>
      <c r="E11" s="81">
        <f>'Financial Ratios'!H8</f>
        <v>0.89267533341747651</v>
      </c>
    </row>
    <row r="12" spans="2:5" ht="15" customHeight="1" x14ac:dyDescent="0.25">
      <c r="B12" s="79" t="s">
        <v>139</v>
      </c>
      <c r="C12" s="79" t="s">
        <v>67</v>
      </c>
      <c r="D12" s="79">
        <v>2021</v>
      </c>
      <c r="E12" s="81">
        <f>'Financial Ratios'!D9</f>
        <v>0.41748495407031994</v>
      </c>
    </row>
    <row r="13" spans="2:5" ht="15" customHeight="1" x14ac:dyDescent="0.25">
      <c r="B13" s="79" t="s">
        <v>139</v>
      </c>
      <c r="C13" s="79" t="s">
        <v>67</v>
      </c>
      <c r="D13" s="79">
        <v>2022</v>
      </c>
      <c r="E13" s="81">
        <f>'Financial Ratios'!E9</f>
        <v>0.39503578325570826</v>
      </c>
    </row>
    <row r="14" spans="2:5" ht="15" customHeight="1" x14ac:dyDescent="0.25">
      <c r="B14" s="79" t="s">
        <v>139</v>
      </c>
      <c r="C14" s="79" t="s">
        <v>67</v>
      </c>
      <c r="D14" s="79">
        <v>2023</v>
      </c>
      <c r="E14" s="81">
        <f>'Financial Ratios'!F9</f>
        <v>0.3875521665206863</v>
      </c>
    </row>
    <row r="15" spans="2:5" ht="15" customHeight="1" x14ac:dyDescent="0.25">
      <c r="B15" s="79" t="s">
        <v>139</v>
      </c>
      <c r="C15" s="79" t="s">
        <v>67</v>
      </c>
      <c r="D15" s="79">
        <v>2024</v>
      </c>
      <c r="E15" s="81">
        <f>'Financial Ratios'!G9</f>
        <v>0.35331318298070219</v>
      </c>
    </row>
    <row r="16" spans="2:5" ht="15" customHeight="1" x14ac:dyDescent="0.25">
      <c r="B16" s="79" t="s">
        <v>139</v>
      </c>
      <c r="C16" s="79" t="s">
        <v>67</v>
      </c>
      <c r="D16" s="79">
        <v>2025</v>
      </c>
      <c r="E16" s="81">
        <f>'Financial Ratios'!H9</f>
        <v>0.40068997433632042</v>
      </c>
    </row>
    <row r="17" spans="2:5" ht="15" customHeight="1" x14ac:dyDescent="0.25">
      <c r="B17" s="79" t="s">
        <v>139</v>
      </c>
      <c r="C17" s="79" t="s">
        <v>68</v>
      </c>
      <c r="D17" s="79">
        <v>2021</v>
      </c>
      <c r="E17" s="81">
        <f>'Financial Ratios'!D10</f>
        <v>0.36756414317389929</v>
      </c>
    </row>
    <row r="18" spans="2:5" ht="15" customHeight="1" x14ac:dyDescent="0.25">
      <c r="B18" s="79" t="s">
        <v>139</v>
      </c>
      <c r="C18" s="79" t="s">
        <v>68</v>
      </c>
      <c r="D18" s="79">
        <v>2022</v>
      </c>
      <c r="E18" s="81">
        <f>'Financial Ratios'!E10</f>
        <v>0.34641599454731342</v>
      </c>
    </row>
    <row r="19" spans="2:5" ht="15" customHeight="1" x14ac:dyDescent="0.25">
      <c r="B19" s="79" t="s">
        <v>139</v>
      </c>
      <c r="C19" s="79" t="s">
        <v>68</v>
      </c>
      <c r="D19" s="79">
        <v>2023</v>
      </c>
      <c r="E19" s="81">
        <f>'Financial Ratios'!F10</f>
        <v>0.3426245556185275</v>
      </c>
    </row>
    <row r="20" spans="2:5" ht="15" customHeight="1" x14ac:dyDescent="0.25">
      <c r="B20" s="79" t="s">
        <v>139</v>
      </c>
      <c r="C20" s="79" t="s">
        <v>68</v>
      </c>
      <c r="D20" s="79">
        <v>2024</v>
      </c>
      <c r="E20" s="81">
        <f>'Financial Ratios'!G10</f>
        <v>0.31346198558474775</v>
      </c>
    </row>
    <row r="21" spans="2:5" ht="15" customHeight="1" x14ac:dyDescent="0.25">
      <c r="B21" s="79" t="s">
        <v>139</v>
      </c>
      <c r="C21" s="79" t="s">
        <v>68</v>
      </c>
      <c r="D21" s="79">
        <v>2025</v>
      </c>
      <c r="E21" s="81">
        <f>'Financial Ratios'!H10</f>
        <v>0.36627540073204595</v>
      </c>
    </row>
    <row r="22" spans="2:5" ht="15" customHeight="1" x14ac:dyDescent="0.25">
      <c r="B22" s="79" t="s">
        <v>139</v>
      </c>
      <c r="C22" s="79" t="s">
        <v>69</v>
      </c>
      <c r="D22" s="79">
        <v>2021</v>
      </c>
      <c r="E22" s="81">
        <f>'Financial Ratios'!D11</f>
        <v>0.30547988596769082</v>
      </c>
    </row>
    <row r="23" spans="2:5" ht="15" customHeight="1" x14ac:dyDescent="0.25">
      <c r="B23" s="79" t="s">
        <v>139</v>
      </c>
      <c r="C23" s="79" t="s">
        <v>69</v>
      </c>
      <c r="D23" s="79">
        <v>2022</v>
      </c>
      <c r="E23" s="81">
        <f>'Financial Ratios'!E11</f>
        <v>0.27019198000681588</v>
      </c>
    </row>
    <row r="24" spans="2:5" ht="15" customHeight="1" x14ac:dyDescent="0.25">
      <c r="B24" s="79" t="s">
        <v>139</v>
      </c>
      <c r="C24" s="79" t="s">
        <v>69</v>
      </c>
      <c r="D24" s="79">
        <v>2023</v>
      </c>
      <c r="E24" s="81">
        <f>'Financial Ratios'!F11</f>
        <v>0.27966407336802512</v>
      </c>
    </row>
    <row r="25" spans="2:5" ht="15" customHeight="1" x14ac:dyDescent="0.25">
      <c r="B25" s="79" t="s">
        <v>139</v>
      </c>
      <c r="C25" s="79" t="s">
        <v>69</v>
      </c>
      <c r="D25" s="79">
        <v>2024</v>
      </c>
      <c r="E25" s="81">
        <f>'Financial Ratios'!G11</f>
        <v>0.25854452452917925</v>
      </c>
    </row>
    <row r="26" spans="2:5" ht="15" customHeight="1" x14ac:dyDescent="0.25">
      <c r="B26" s="79" t="s">
        <v>139</v>
      </c>
      <c r="C26" s="79" t="s">
        <v>69</v>
      </c>
      <c r="D26" s="79">
        <v>2025</v>
      </c>
      <c r="E26" s="81">
        <f>'Financial Ratios'!H11</f>
        <v>0.29997054987588878</v>
      </c>
    </row>
    <row r="27" spans="2:5" ht="15" customHeight="1" x14ac:dyDescent="0.25">
      <c r="B27" s="79" t="s">
        <v>139</v>
      </c>
      <c r="C27" s="79" t="s">
        <v>70</v>
      </c>
      <c r="D27" s="79">
        <v>2021</v>
      </c>
      <c r="E27" s="81">
        <f>'Financial Ratios'!D12</f>
        <v>0.51428571428571423</v>
      </c>
    </row>
    <row r="28" spans="2:5" ht="15" customHeight="1" x14ac:dyDescent="0.25">
      <c r="B28" s="79" t="s">
        <v>139</v>
      </c>
      <c r="C28" s="79" t="s">
        <v>70</v>
      </c>
      <c r="D28" s="79">
        <v>2022</v>
      </c>
      <c r="E28" s="81">
        <f>'Financial Ratios'!E12</f>
        <v>0.53061456321708511</v>
      </c>
    </row>
    <row r="29" spans="2:5" ht="15" customHeight="1" x14ac:dyDescent="0.25">
      <c r="B29" s="79" t="s">
        <v>139</v>
      </c>
      <c r="C29" s="79" t="s">
        <v>70</v>
      </c>
      <c r="D29" s="79">
        <v>2023</v>
      </c>
      <c r="E29" s="81">
        <f>'Financial Ratios'!F12</f>
        <v>0.53609150394147043</v>
      </c>
    </row>
    <row r="30" spans="2:5" ht="15" customHeight="1" x14ac:dyDescent="0.25">
      <c r="B30" s="79" t="s">
        <v>139</v>
      </c>
      <c r="C30" s="79" t="s">
        <v>70</v>
      </c>
      <c r="D30" s="79">
        <v>2024</v>
      </c>
      <c r="E30" s="81">
        <f>'Financial Ratios'!G12</f>
        <v>0.57688909555917234</v>
      </c>
    </row>
    <row r="31" spans="2:5" ht="15" customHeight="1" x14ac:dyDescent="0.25">
      <c r="B31" s="79" t="s">
        <v>139</v>
      </c>
      <c r="C31" s="79" t="s">
        <v>70</v>
      </c>
      <c r="D31" s="79">
        <v>2025</v>
      </c>
      <c r="E31" s="81">
        <f>'Financial Ratios'!H12</f>
        <v>0.52639993268543062</v>
      </c>
    </row>
    <row r="32" spans="2:5" ht="15" customHeight="1" x14ac:dyDescent="0.25">
      <c r="B32" s="63" t="s">
        <v>140</v>
      </c>
      <c r="C32" s="63" t="s">
        <v>71</v>
      </c>
      <c r="D32" s="63">
        <v>2021</v>
      </c>
      <c r="E32" s="82" t="str">
        <f>'Financial Ratios'!D13</f>
        <v>-</v>
      </c>
    </row>
    <row r="33" spans="2:5" ht="15" customHeight="1" x14ac:dyDescent="0.25">
      <c r="B33" s="63" t="s">
        <v>140</v>
      </c>
      <c r="C33" s="63" t="s">
        <v>71</v>
      </c>
      <c r="D33" s="63">
        <v>2022</v>
      </c>
      <c r="E33" s="83">
        <f>'Financial Ratios'!E13</f>
        <v>0.17487041870381942</v>
      </c>
    </row>
    <row r="34" spans="2:5" ht="15" customHeight="1" x14ac:dyDescent="0.25">
      <c r="B34" s="63" t="s">
        <v>140</v>
      </c>
      <c r="C34" s="63" t="s">
        <v>71</v>
      </c>
      <c r="D34" s="63">
        <v>2023</v>
      </c>
      <c r="E34" s="83">
        <f>'Financial Ratios'!F13</f>
        <v>0.1906434391683057</v>
      </c>
    </row>
    <row r="35" spans="2:5" ht="15" customHeight="1" x14ac:dyDescent="0.25">
      <c r="B35" s="63" t="s">
        <v>140</v>
      </c>
      <c r="C35" s="63" t="s">
        <v>71</v>
      </c>
      <c r="D35" s="63">
        <v>2024</v>
      </c>
      <c r="E35" s="83">
        <f>'Financial Ratios'!G13</f>
        <v>0.18530553750270792</v>
      </c>
    </row>
    <row r="36" spans="2:5" ht="15" customHeight="1" x14ac:dyDescent="0.25">
      <c r="B36" s="63" t="s">
        <v>140</v>
      </c>
      <c r="C36" s="63" t="s">
        <v>71</v>
      </c>
      <c r="D36" s="63">
        <v>2025</v>
      </c>
      <c r="E36" s="83">
        <f>'Financial Ratios'!H13</f>
        <v>0.23875699025550012</v>
      </c>
    </row>
    <row r="37" spans="2:5" ht="15" customHeight="1" x14ac:dyDescent="0.25">
      <c r="B37" s="63" t="s">
        <v>140</v>
      </c>
      <c r="C37" s="63" t="s">
        <v>72</v>
      </c>
      <c r="D37" s="63">
        <v>2021</v>
      </c>
      <c r="E37" s="82" t="str">
        <f>'Financial Ratios'!D14</f>
        <v>-</v>
      </c>
    </row>
    <row r="38" spans="2:5" ht="15" customHeight="1" x14ac:dyDescent="0.25">
      <c r="B38" s="63" t="s">
        <v>140</v>
      </c>
      <c r="C38" s="63" t="s">
        <v>72</v>
      </c>
      <c r="D38" s="63">
        <v>2022</v>
      </c>
      <c r="E38" s="83">
        <f>'Financial Ratios'!E14</f>
        <v>0.32979755962285079</v>
      </c>
    </row>
    <row r="39" spans="2:5" ht="15" customHeight="1" x14ac:dyDescent="0.25">
      <c r="B39" s="63" t="s">
        <v>140</v>
      </c>
      <c r="C39" s="63" t="s">
        <v>72</v>
      </c>
      <c r="D39" s="63">
        <v>2023</v>
      </c>
      <c r="E39" s="83">
        <f>'Financial Ratios'!F14</f>
        <v>0.35513101508063727</v>
      </c>
    </row>
    <row r="40" spans="2:5" ht="15" customHeight="1" x14ac:dyDescent="0.25">
      <c r="B40" s="63" t="s">
        <v>140</v>
      </c>
      <c r="C40" s="63" t="s">
        <v>72</v>
      </c>
      <c r="D40" s="63">
        <v>2024</v>
      </c>
      <c r="E40" s="83">
        <f>'Financial Ratios'!G14</f>
        <v>0.36312575515135681</v>
      </c>
    </row>
    <row r="41" spans="2:5" ht="15" customHeight="1" x14ac:dyDescent="0.25">
      <c r="B41" s="63" t="s">
        <v>140</v>
      </c>
      <c r="C41" s="63" t="s">
        <v>72</v>
      </c>
      <c r="D41" s="63">
        <v>2025</v>
      </c>
      <c r="E41" s="83">
        <f>'Financial Ratios'!H14</f>
        <v>0.55425995024875618</v>
      </c>
    </row>
    <row r="42" spans="2:5" ht="15" customHeight="1" x14ac:dyDescent="0.25">
      <c r="B42" s="62" t="s">
        <v>141</v>
      </c>
      <c r="C42" s="62" t="s">
        <v>73</v>
      </c>
      <c r="D42" s="62">
        <v>2021</v>
      </c>
      <c r="E42" s="84">
        <f>'Financial Ratios'!D15</f>
        <v>0.27863756166790565</v>
      </c>
    </row>
    <row r="43" spans="2:5" ht="15" customHeight="1" x14ac:dyDescent="0.25">
      <c r="B43" s="62" t="s">
        <v>141</v>
      </c>
      <c r="C43" s="62" t="s">
        <v>73</v>
      </c>
      <c r="D43" s="62">
        <v>2022</v>
      </c>
      <c r="E43" s="84">
        <f>'Financial Ratios'!E15</f>
        <v>0.29385808839228522</v>
      </c>
    </row>
    <row r="44" spans="2:5" ht="15" customHeight="1" x14ac:dyDescent="0.25">
      <c r="B44" s="62" t="s">
        <v>141</v>
      </c>
      <c r="C44" s="62" t="s">
        <v>73</v>
      </c>
      <c r="D44" s="62">
        <v>2023</v>
      </c>
      <c r="E44" s="84">
        <f>'Financial Ratios'!F15</f>
        <v>0.22000242160067804</v>
      </c>
    </row>
    <row r="45" spans="2:5" ht="15" customHeight="1" x14ac:dyDescent="0.25">
      <c r="B45" s="62" t="s">
        <v>141</v>
      </c>
      <c r="C45" s="62" t="s">
        <v>73</v>
      </c>
      <c r="D45" s="62">
        <v>2024</v>
      </c>
      <c r="E45" s="84">
        <f>'Financial Ratios'!G15</f>
        <v>0.39900744416873452</v>
      </c>
    </row>
    <row r="46" spans="2:5" ht="15" customHeight="1" x14ac:dyDescent="0.25">
      <c r="B46" s="62" t="s">
        <v>141</v>
      </c>
      <c r="C46" s="62" t="s">
        <v>73</v>
      </c>
      <c r="D46" s="62">
        <v>2025</v>
      </c>
      <c r="E46" s="84">
        <f>'Financial Ratios'!H15</f>
        <v>0.53428546846769331</v>
      </c>
    </row>
    <row r="47" spans="2:5" ht="15" customHeight="1" x14ac:dyDescent="0.25">
      <c r="B47" s="62" t="s">
        <v>141</v>
      </c>
      <c r="C47" s="62" t="s">
        <v>74</v>
      </c>
      <c r="D47" s="62">
        <v>2021</v>
      </c>
      <c r="E47" s="84">
        <f>'Financial Ratios'!D16</f>
        <v>0.15135274035461252</v>
      </c>
    </row>
    <row r="48" spans="2:5" ht="15" customHeight="1" x14ac:dyDescent="0.25">
      <c r="B48" s="62" t="s">
        <v>141</v>
      </c>
      <c r="C48" s="62" t="s">
        <v>74</v>
      </c>
      <c r="D48" s="62">
        <v>2022</v>
      </c>
      <c r="E48" s="84">
        <f>'Financial Ratios'!E16</f>
        <v>0.15199705503405117</v>
      </c>
    </row>
    <row r="49" spans="2:5" ht="15" customHeight="1" x14ac:dyDescent="0.25">
      <c r="B49" s="62" t="s">
        <v>141</v>
      </c>
      <c r="C49" s="62" t="s">
        <v>74</v>
      </c>
      <c r="D49" s="62">
        <v>2023</v>
      </c>
      <c r="E49" s="84">
        <f>'Financial Ratios'!F16</f>
        <v>0.12203230464421236</v>
      </c>
    </row>
    <row r="50" spans="2:5" ht="15" customHeight="1" x14ac:dyDescent="0.25">
      <c r="B50" s="62" t="s">
        <v>141</v>
      </c>
      <c r="C50" s="62" t="s">
        <v>74</v>
      </c>
      <c r="D50" s="62">
        <v>2024</v>
      </c>
      <c r="E50" s="84">
        <f>'Financial Ratios'!G16</f>
        <v>0.18617267614952035</v>
      </c>
    </row>
    <row r="51" spans="2:5" ht="15" customHeight="1" x14ac:dyDescent="0.25">
      <c r="B51" s="62" t="s">
        <v>141</v>
      </c>
      <c r="C51" s="62" t="s">
        <v>74</v>
      </c>
      <c r="D51" s="62">
        <v>2025</v>
      </c>
      <c r="E51" s="84">
        <f>'Financial Ratios'!H16</f>
        <v>0.21053702196908056</v>
      </c>
    </row>
    <row r="52" spans="2:5" ht="15" customHeight="1" x14ac:dyDescent="0.25">
      <c r="B52" s="62" t="s">
        <v>141</v>
      </c>
      <c r="C52" s="62" t="s">
        <v>75</v>
      </c>
      <c r="D52" s="62">
        <v>2021</v>
      </c>
      <c r="E52" s="84">
        <f>'Financial Ratios'!D17</f>
        <v>0.21791754756871035</v>
      </c>
    </row>
    <row r="53" spans="2:5" ht="15" customHeight="1" x14ac:dyDescent="0.25">
      <c r="B53" s="62" t="s">
        <v>141</v>
      </c>
      <c r="C53" s="62" t="s">
        <v>75</v>
      </c>
      <c r="D53" s="62">
        <v>2022</v>
      </c>
      <c r="E53" s="84">
        <f>'Financial Ratios'!E17</f>
        <v>0.22711771177117712</v>
      </c>
    </row>
    <row r="54" spans="2:5" ht="15" customHeight="1" x14ac:dyDescent="0.25">
      <c r="B54" s="62" t="s">
        <v>141</v>
      </c>
      <c r="C54" s="62" t="s">
        <v>75</v>
      </c>
      <c r="D54" s="62">
        <v>2023</v>
      </c>
      <c r="E54" s="84">
        <f>'Financial Ratios'!F17</f>
        <v>0.18032949583167923</v>
      </c>
    </row>
    <row r="55" spans="2:5" ht="15" customHeight="1" x14ac:dyDescent="0.25">
      <c r="B55" s="62" t="s">
        <v>141</v>
      </c>
      <c r="C55" s="62" t="s">
        <v>75</v>
      </c>
      <c r="D55" s="62">
        <v>2024</v>
      </c>
      <c r="E55" s="84">
        <f>'Financial Ratios'!G17</f>
        <v>0.28520752039730402</v>
      </c>
    </row>
    <row r="56" spans="2:5" ht="15" customHeight="1" x14ac:dyDescent="0.25">
      <c r="B56" s="62" t="s">
        <v>141</v>
      </c>
      <c r="C56" s="62" t="s">
        <v>75</v>
      </c>
      <c r="D56" s="62">
        <v>2025</v>
      </c>
      <c r="E56" s="84">
        <f>'Financial Ratios'!H17</f>
        <v>0.34823080805248696</v>
      </c>
    </row>
    <row r="57" spans="2:5" ht="15" customHeight="1" x14ac:dyDescent="0.25">
      <c r="B57" s="62" t="s">
        <v>141</v>
      </c>
      <c r="C57" s="62" t="s">
        <v>76</v>
      </c>
      <c r="D57" s="62">
        <v>2021</v>
      </c>
      <c r="E57" s="85">
        <f>'Financial Ratios'!D18</f>
        <v>279</v>
      </c>
    </row>
    <row r="58" spans="2:5" ht="15" customHeight="1" x14ac:dyDescent="0.25">
      <c r="B58" s="62" t="s">
        <v>141</v>
      </c>
      <c r="C58" s="62" t="s">
        <v>76</v>
      </c>
      <c r="D58" s="62">
        <v>2022</v>
      </c>
      <c r="E58" s="85">
        <f>'Financial Ratios'!E18</f>
        <v>-107</v>
      </c>
    </row>
    <row r="59" spans="2:5" ht="15" customHeight="1" x14ac:dyDescent="0.25">
      <c r="B59" s="62" t="s">
        <v>141</v>
      </c>
      <c r="C59" s="62" t="s">
        <v>76</v>
      </c>
      <c r="D59" s="62">
        <v>2023</v>
      </c>
      <c r="E59" s="85">
        <f>'Financial Ratios'!F18</f>
        <v>-3507</v>
      </c>
    </row>
    <row r="60" spans="2:5" ht="15" customHeight="1" x14ac:dyDescent="0.25">
      <c r="B60" s="62" t="s">
        <v>141</v>
      </c>
      <c r="C60" s="62" t="s">
        <v>76</v>
      </c>
      <c r="D60" s="62">
        <v>2024</v>
      </c>
      <c r="E60" s="85">
        <f>'Financial Ratios'!G18</f>
        <v>-1985</v>
      </c>
    </row>
    <row r="61" spans="2:5" ht="15" customHeight="1" x14ac:dyDescent="0.25">
      <c r="B61" s="62" t="s">
        <v>141</v>
      </c>
      <c r="C61" s="62" t="s">
        <v>76</v>
      </c>
      <c r="D61" s="62">
        <v>2025</v>
      </c>
      <c r="E61" s="85">
        <f>'Financial Ratios'!H18</f>
        <v>779</v>
      </c>
    </row>
    <row r="62" spans="2:5" ht="15" customHeight="1" x14ac:dyDescent="0.25">
      <c r="B62" s="62" t="s">
        <v>141</v>
      </c>
      <c r="C62" s="62" t="s">
        <v>77</v>
      </c>
      <c r="D62" s="62">
        <v>2021</v>
      </c>
      <c r="E62" s="105">
        <f>'Financial Ratios'!D19</f>
        <v>51.345132743362832</v>
      </c>
    </row>
    <row r="63" spans="2:5" ht="15" customHeight="1" x14ac:dyDescent="0.25">
      <c r="B63" s="62" t="s">
        <v>141</v>
      </c>
      <c r="C63" s="62" t="s">
        <v>77</v>
      </c>
      <c r="D63" s="62">
        <v>2022</v>
      </c>
      <c r="E63" s="105">
        <f>'Financial Ratios'!E19</f>
        <v>54.455357142857146</v>
      </c>
    </row>
    <row r="64" spans="2:5" ht="15" customHeight="1" x14ac:dyDescent="0.25">
      <c r="B64" s="62" t="s">
        <v>141</v>
      </c>
      <c r="C64" s="62" t="s">
        <v>77</v>
      </c>
      <c r="D64" s="62">
        <v>2023</v>
      </c>
      <c r="E64" s="105">
        <f>'Financial Ratios'!F19</f>
        <v>58.849557522123895</v>
      </c>
    </row>
    <row r="65" spans="2:5" ht="15" customHeight="1" x14ac:dyDescent="0.25">
      <c r="B65" s="62" t="s">
        <v>141</v>
      </c>
      <c r="C65" s="62" t="s">
        <v>77</v>
      </c>
      <c r="D65" s="62">
        <v>2024</v>
      </c>
      <c r="E65" s="105">
        <f>'Financial Ratios'!G19</f>
        <v>39.887573964497044</v>
      </c>
    </row>
    <row r="66" spans="2:5" ht="15" customHeight="1" x14ac:dyDescent="0.25">
      <c r="B66" s="62" t="s">
        <v>141</v>
      </c>
      <c r="C66" s="62" t="s">
        <v>77</v>
      </c>
      <c r="D66" s="62">
        <v>2025</v>
      </c>
      <c r="E66" s="105">
        <f>'Financial Ratios'!H19</f>
        <v>33.102661596958178</v>
      </c>
    </row>
    <row r="67" spans="2:5" ht="15" customHeight="1" x14ac:dyDescent="0.25">
      <c r="B67" s="86" t="s">
        <v>142</v>
      </c>
      <c r="C67" s="86" t="s">
        <v>78</v>
      </c>
      <c r="D67" s="86">
        <v>2021</v>
      </c>
      <c r="E67" s="87" t="str">
        <f>'Financial Ratios'!D20</f>
        <v>-</v>
      </c>
    </row>
    <row r="68" spans="2:5" ht="15" customHeight="1" x14ac:dyDescent="0.25">
      <c r="B68" s="86" t="s">
        <v>142</v>
      </c>
      <c r="C68" s="86" t="s">
        <v>78</v>
      </c>
      <c r="D68" s="86">
        <v>2022</v>
      </c>
      <c r="E68" s="88">
        <f>'Financial Ratios'!E20</f>
        <v>0.64720802852626547</v>
      </c>
    </row>
    <row r="69" spans="2:5" ht="15" customHeight="1" x14ac:dyDescent="0.25">
      <c r="B69" s="86" t="s">
        <v>142</v>
      </c>
      <c r="C69" s="86" t="s">
        <v>78</v>
      </c>
      <c r="D69" s="86">
        <v>2023</v>
      </c>
      <c r="E69" s="88">
        <f>'Financial Ratios'!F20</f>
        <v>0.68168727170553522</v>
      </c>
    </row>
    <row r="70" spans="2:5" ht="15" customHeight="1" x14ac:dyDescent="0.25">
      <c r="B70" s="86" t="s">
        <v>142</v>
      </c>
      <c r="C70" s="86" t="s">
        <v>78</v>
      </c>
      <c r="D70" s="86">
        <v>2024</v>
      </c>
      <c r="E70" s="88">
        <f>'Financial Ratios'!G20</f>
        <v>0.71672582445966437</v>
      </c>
    </row>
    <row r="71" spans="2:5" ht="15" customHeight="1" x14ac:dyDescent="0.25">
      <c r="B71" s="86" t="s">
        <v>142</v>
      </c>
      <c r="C71" s="86" t="s">
        <v>78</v>
      </c>
      <c r="D71" s="86">
        <v>2025</v>
      </c>
      <c r="E71" s="88">
        <f>'Financial Ratios'!H20</f>
        <v>0.79593476877741687</v>
      </c>
    </row>
    <row r="72" spans="2:5" ht="15" customHeight="1" x14ac:dyDescent="0.25">
      <c r="B72" s="86" t="s">
        <v>142</v>
      </c>
      <c r="C72" s="86" t="s">
        <v>79</v>
      </c>
      <c r="D72" s="86">
        <v>2021</v>
      </c>
      <c r="E72" s="89" t="str">
        <f>'Financial Ratios'!D21</f>
        <v>-</v>
      </c>
    </row>
    <row r="73" spans="2:5" ht="15" customHeight="1" x14ac:dyDescent="0.25">
      <c r="B73" s="86" t="s">
        <v>142</v>
      </c>
      <c r="C73" s="86" t="s">
        <v>79</v>
      </c>
      <c r="D73" s="86">
        <v>2022</v>
      </c>
      <c r="E73" s="88">
        <f>'Financial Ratios'!E21</f>
        <v>9.8330075397933534</v>
      </c>
    </row>
    <row r="74" spans="2:5" ht="15" customHeight="1" x14ac:dyDescent="0.25">
      <c r="B74" s="86" t="s">
        <v>142</v>
      </c>
      <c r="C74" s="86" t="s">
        <v>79</v>
      </c>
      <c r="D74" s="86">
        <v>2023</v>
      </c>
      <c r="E74" s="88">
        <f>'Financial Ratios'!F21</f>
        <v>9.8572879634332153</v>
      </c>
    </row>
    <row r="75" spans="2:5" ht="15" customHeight="1" x14ac:dyDescent="0.25">
      <c r="B75" s="86" t="s">
        <v>142</v>
      </c>
      <c r="C75" s="86" t="s">
        <v>79</v>
      </c>
      <c r="D75" s="86">
        <v>2024</v>
      </c>
      <c r="E75" s="88">
        <f>'Financial Ratios'!G21</f>
        <v>10.844679778113969</v>
      </c>
    </row>
    <row r="76" spans="2:5" ht="15" customHeight="1" x14ac:dyDescent="0.25">
      <c r="B76" s="86" t="s">
        <v>142</v>
      </c>
      <c r="C76" s="86" t="s">
        <v>79</v>
      </c>
      <c r="D76" s="86">
        <v>2025</v>
      </c>
      <c r="E76" s="88">
        <f>'Financial Ratios'!H21</f>
        <v>12.480441060645839</v>
      </c>
    </row>
    <row r="77" spans="2:5" ht="15" customHeight="1" x14ac:dyDescent="0.25">
      <c r="B77" s="86" t="s">
        <v>142</v>
      </c>
      <c r="C77" s="86" t="s">
        <v>80</v>
      </c>
      <c r="D77" s="86">
        <v>2021</v>
      </c>
      <c r="E77" s="89" t="str">
        <f>'Financial Ratios'!D22</f>
        <v>-</v>
      </c>
    </row>
    <row r="78" spans="2:5" ht="15" customHeight="1" x14ac:dyDescent="0.25">
      <c r="B78" s="86" t="s">
        <v>142</v>
      </c>
      <c r="C78" s="86" t="s">
        <v>80</v>
      </c>
      <c r="D78" s="86">
        <v>2022</v>
      </c>
      <c r="E78" s="88">
        <f>'Financial Ratios'!E22</f>
        <v>10.138784912179672</v>
      </c>
    </row>
    <row r="79" spans="2:5" ht="15" customHeight="1" x14ac:dyDescent="0.25">
      <c r="B79" s="86" t="s">
        <v>142</v>
      </c>
      <c r="C79" s="86" t="s">
        <v>80</v>
      </c>
      <c r="D79" s="86">
        <v>2023</v>
      </c>
      <c r="E79" s="88">
        <f>'Financial Ratios'!F22</f>
        <v>5.9409243954698496</v>
      </c>
    </row>
    <row r="80" spans="2:5" ht="15" customHeight="1" x14ac:dyDescent="0.25">
      <c r="B80" s="86" t="s">
        <v>142</v>
      </c>
      <c r="C80" s="86" t="s">
        <v>80</v>
      </c>
      <c r="D80" s="86">
        <v>2024</v>
      </c>
      <c r="E80" s="88">
        <f>'Financial Ratios'!G22</f>
        <v>10.108108108108109</v>
      </c>
    </row>
    <row r="81" spans="2:5" ht="15" customHeight="1" x14ac:dyDescent="0.25">
      <c r="B81" s="86" t="s">
        <v>142</v>
      </c>
      <c r="C81" s="86" t="s">
        <v>80</v>
      </c>
      <c r="D81" s="86">
        <v>2025</v>
      </c>
      <c r="E81" s="88">
        <f>'Financial Ratios'!H22</f>
        <v>74.627943485086348</v>
      </c>
    </row>
    <row r="82" spans="2:5" ht="15" customHeight="1" x14ac:dyDescent="0.25">
      <c r="B82" s="90" t="s">
        <v>143</v>
      </c>
      <c r="C82" s="90" t="s">
        <v>81</v>
      </c>
      <c r="D82" s="90">
        <v>2021</v>
      </c>
      <c r="E82" s="91">
        <f>'Financial Ratios'!D23</f>
        <v>0.45802977510294585</v>
      </c>
    </row>
    <row r="83" spans="2:5" ht="15" customHeight="1" x14ac:dyDescent="0.25">
      <c r="B83" s="90" t="s">
        <v>143</v>
      </c>
      <c r="C83" s="90" t="s">
        <v>81</v>
      </c>
      <c r="D83" s="90">
        <v>2022</v>
      </c>
      <c r="E83" s="91">
        <f>'Financial Ratios'!E23</f>
        <v>0.44524593888447123</v>
      </c>
    </row>
    <row r="84" spans="2:5" ht="15" customHeight="1" x14ac:dyDescent="0.25">
      <c r="B84" s="90" t="s">
        <v>143</v>
      </c>
      <c r="C84" s="90" t="s">
        <v>81</v>
      </c>
      <c r="D84" s="90">
        <v>2023</v>
      </c>
      <c r="E84" s="91">
        <f>'Financial Ratios'!F23</f>
        <v>0.37621721881601317</v>
      </c>
    </row>
    <row r="85" spans="2:5" ht="15" customHeight="1" x14ac:dyDescent="0.25">
      <c r="B85" s="90" t="s">
        <v>143</v>
      </c>
      <c r="C85" s="90" t="s">
        <v>81</v>
      </c>
      <c r="D85" s="90">
        <v>2024</v>
      </c>
      <c r="E85" s="91">
        <f>'Financial Ratios'!G23</f>
        <v>0.37461055568472446</v>
      </c>
    </row>
    <row r="86" spans="2:5" ht="15" customHeight="1" x14ac:dyDescent="0.25">
      <c r="B86" s="90" t="s">
        <v>143</v>
      </c>
      <c r="C86" s="90" t="s">
        <v>81</v>
      </c>
      <c r="D86" s="90">
        <v>2025</v>
      </c>
      <c r="E86" s="91">
        <f>'Financial Ratios'!H23</f>
        <v>0.4220202785140309</v>
      </c>
    </row>
    <row r="87" spans="2:5" ht="15" customHeight="1" x14ac:dyDescent="0.25">
      <c r="B87" s="90" t="s">
        <v>143</v>
      </c>
      <c r="C87" s="90" t="s">
        <v>82</v>
      </c>
      <c r="D87" s="90">
        <v>2021</v>
      </c>
      <c r="E87" s="92">
        <f>'Financial Ratios'!D24</f>
        <v>6882</v>
      </c>
    </row>
    <row r="88" spans="2:5" ht="15" customHeight="1" x14ac:dyDescent="0.25">
      <c r="B88" s="90" t="s">
        <v>143</v>
      </c>
      <c r="C88" s="90" t="s">
        <v>82</v>
      </c>
      <c r="D88" s="90">
        <v>2022</v>
      </c>
      <c r="E88" s="92">
        <f>'Financial Ratios'!E24</f>
        <v>7397</v>
      </c>
    </row>
    <row r="89" spans="2:5" ht="15" customHeight="1" x14ac:dyDescent="0.25">
      <c r="B89" s="90" t="s">
        <v>143</v>
      </c>
      <c r="C89" s="90" t="s">
        <v>82</v>
      </c>
      <c r="D89" s="90">
        <v>2023</v>
      </c>
      <c r="E89" s="92">
        <f>'Financial Ratios'!F24</f>
        <v>6942</v>
      </c>
    </row>
    <row r="90" spans="2:5" ht="15" customHeight="1" x14ac:dyDescent="0.25">
      <c r="B90" s="90" t="s">
        <v>143</v>
      </c>
      <c r="C90" s="90" t="s">
        <v>82</v>
      </c>
      <c r="D90" s="90">
        <v>2024</v>
      </c>
      <c r="E90" s="92">
        <f>'Financial Ratios'!G24</f>
        <v>7873</v>
      </c>
    </row>
    <row r="91" spans="2:5" ht="15" customHeight="1" x14ac:dyDescent="0.25">
      <c r="B91" s="90" t="s">
        <v>143</v>
      </c>
      <c r="C91" s="90" t="s">
        <v>82</v>
      </c>
      <c r="D91" s="90">
        <v>2025</v>
      </c>
      <c r="E91" s="92">
        <f>'Financial Ratios'!H24</f>
        <v>9852</v>
      </c>
    </row>
    <row r="92" spans="2:5" ht="15" customHeight="1" x14ac:dyDescent="0.25">
      <c r="B92" s="90" t="s">
        <v>143</v>
      </c>
      <c r="C92" s="90" t="s">
        <v>83</v>
      </c>
      <c r="D92" s="90">
        <v>2021</v>
      </c>
      <c r="E92" s="91">
        <f>'Financial Ratios'!D26</f>
        <v>1.4993778515138947</v>
      </c>
    </row>
    <row r="93" spans="2:5" ht="15" customHeight="1" x14ac:dyDescent="0.25">
      <c r="B93" s="90" t="s">
        <v>143</v>
      </c>
      <c r="C93" s="90" t="s">
        <v>83</v>
      </c>
      <c r="D93" s="90">
        <v>2022</v>
      </c>
      <c r="E93" s="91">
        <f>'Financial Ratios'!E26</f>
        <v>1.647887323943662</v>
      </c>
    </row>
    <row r="94" spans="2:5" ht="15" customHeight="1" x14ac:dyDescent="0.25">
      <c r="B94" s="90" t="s">
        <v>143</v>
      </c>
      <c r="C94" s="90" t="s">
        <v>83</v>
      </c>
      <c r="D94" s="90">
        <v>2023</v>
      </c>
      <c r="E94" s="91">
        <f>'Financial Ratios'!F26</f>
        <v>1.3452468680913781</v>
      </c>
    </row>
    <row r="95" spans="2:5" ht="15" customHeight="1" x14ac:dyDescent="0.25">
      <c r="B95" s="90" t="s">
        <v>143</v>
      </c>
      <c r="C95" s="90" t="s">
        <v>83</v>
      </c>
      <c r="D95" s="90">
        <v>2024</v>
      </c>
      <c r="E95" s="91">
        <f>'Financial Ratios'!G26</f>
        <v>1.4489208633093524</v>
      </c>
    </row>
    <row r="96" spans="2:5" ht="15" customHeight="1" x14ac:dyDescent="0.25">
      <c r="B96" s="90" t="s">
        <v>143</v>
      </c>
      <c r="C96" s="90" t="s">
        <v>83</v>
      </c>
      <c r="D96" s="90">
        <v>2025</v>
      </c>
      <c r="E96" s="91">
        <f>'Financial Ratios'!H26</f>
        <v>1.4068723702664796</v>
      </c>
    </row>
    <row r="97" spans="2:5" ht="15" customHeight="1" x14ac:dyDescent="0.25">
      <c r="B97" s="90" t="s">
        <v>143</v>
      </c>
      <c r="C97" s="90" t="s">
        <v>84</v>
      </c>
      <c r="D97" s="90">
        <v>2021</v>
      </c>
      <c r="E97" s="93">
        <f>'Financial Ratios'!D26</f>
        <v>1.4993778515138947</v>
      </c>
    </row>
    <row r="98" spans="2:5" ht="15" customHeight="1" x14ac:dyDescent="0.25">
      <c r="B98" s="90" t="s">
        <v>143</v>
      </c>
      <c r="C98" s="90" t="s">
        <v>84</v>
      </c>
      <c r="D98" s="90">
        <v>2022</v>
      </c>
      <c r="E98" s="93">
        <f>'Financial Ratios'!E26</f>
        <v>1.647887323943662</v>
      </c>
    </row>
    <row r="99" spans="2:5" ht="15" customHeight="1" x14ac:dyDescent="0.25">
      <c r="B99" s="90" t="s">
        <v>143</v>
      </c>
      <c r="C99" s="90" t="s">
        <v>84</v>
      </c>
      <c r="D99" s="90">
        <v>2023</v>
      </c>
      <c r="E99" s="93">
        <f>'Financial Ratios'!F26</f>
        <v>1.3452468680913781</v>
      </c>
    </row>
    <row r="100" spans="2:5" ht="15" customHeight="1" x14ac:dyDescent="0.25">
      <c r="B100" s="90" t="s">
        <v>143</v>
      </c>
      <c r="C100" s="90" t="s">
        <v>84</v>
      </c>
      <c r="D100" s="90">
        <v>2024</v>
      </c>
      <c r="E100" s="93">
        <f>'Financial Ratios'!G26</f>
        <v>1.4489208633093524</v>
      </c>
    </row>
    <row r="101" spans="2:5" ht="15" customHeight="1" x14ac:dyDescent="0.25">
      <c r="B101" s="90" t="s">
        <v>143</v>
      </c>
      <c r="C101" s="90" t="s">
        <v>84</v>
      </c>
      <c r="D101" s="90">
        <v>2025</v>
      </c>
      <c r="E101" s="93">
        <f>'Financial Ratios'!H26</f>
        <v>1.4068723702664796</v>
      </c>
    </row>
    <row r="102" spans="2:5" ht="15" customHeight="1" x14ac:dyDescent="0.25">
      <c r="B102" s="90" t="s">
        <v>143</v>
      </c>
      <c r="C102" s="90" t="s">
        <v>85</v>
      </c>
      <c r="D102" s="90">
        <v>2021</v>
      </c>
      <c r="E102" s="94">
        <f>'Financial Ratios'!D27</f>
        <v>4.8132780082987554E-2</v>
      </c>
    </row>
    <row r="103" spans="2:5" ht="15" customHeight="1" x14ac:dyDescent="0.25">
      <c r="B103" s="90" t="s">
        <v>143</v>
      </c>
      <c r="C103" s="90" t="s">
        <v>85</v>
      </c>
      <c r="D103" s="90">
        <v>2022</v>
      </c>
      <c r="E103" s="94">
        <f>'Financial Ratios'!E27</f>
        <v>5.6384742951907131E-2</v>
      </c>
    </row>
    <row r="104" spans="2:5" ht="15" customHeight="1" x14ac:dyDescent="0.25">
      <c r="B104" s="90" t="s">
        <v>143</v>
      </c>
      <c r="C104" s="90" t="s">
        <v>85</v>
      </c>
      <c r="D104" s="90">
        <v>2023</v>
      </c>
      <c r="E104" s="94">
        <f>'Financial Ratios'!F27</f>
        <v>4.9301561216105176E-2</v>
      </c>
    </row>
    <row r="105" spans="2:5" ht="15" customHeight="1" x14ac:dyDescent="0.25">
      <c r="B105" s="90" t="s">
        <v>143</v>
      </c>
      <c r="C105" s="90" t="s">
        <v>85</v>
      </c>
      <c r="D105" s="90">
        <v>2024</v>
      </c>
      <c r="E105" s="94">
        <f>'Financial Ratios'!G27</f>
        <v>2.2715988083416086E-2</v>
      </c>
    </row>
    <row r="106" spans="2:5" ht="15" customHeight="1" x14ac:dyDescent="0.25">
      <c r="B106" s="90" t="s">
        <v>143</v>
      </c>
      <c r="C106" s="90" t="s">
        <v>85</v>
      </c>
      <c r="D106" s="90">
        <v>2025</v>
      </c>
      <c r="E106" s="94">
        <f>'Financial Ratios'!H27</f>
        <v>1.7844681487389095E-2</v>
      </c>
    </row>
    <row r="107" spans="2:5" ht="15" customHeight="1" x14ac:dyDescent="0.25"/>
    <row r="108" spans="2:5" ht="15" customHeight="1" x14ac:dyDescent="0.25"/>
    <row r="109" spans="2:5" ht="15" customHeight="1" x14ac:dyDescent="0.25"/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Income Statement</vt:lpstr>
      <vt:lpstr>Balance Sheet</vt:lpstr>
      <vt:lpstr>Cashflow</vt:lpstr>
      <vt:lpstr>Financial Ratios</vt:lpstr>
      <vt:lpstr>Revenue Forecasting</vt:lpstr>
      <vt:lpstr>Income Statement Forecast</vt:lpstr>
      <vt:lpstr>Balance Sheet Forecast</vt:lpstr>
      <vt:lpstr>Cash Flow Forecast</vt:lpstr>
      <vt:lpstr>Power BI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ABIRVAB PC</dc:creator>
  <dc:description/>
  <cp:lastModifiedBy>ABIRVAB PC</cp:lastModifiedBy>
  <cp:revision>0</cp:revision>
  <dcterms:created xsi:type="dcterms:W3CDTF">2015-06-05T18:17:20Z</dcterms:created>
  <dcterms:modified xsi:type="dcterms:W3CDTF">2026-08-12T14:17:23Z</dcterms:modified>
  <dc:language>en-US</dc:language>
</cp:coreProperties>
</file>